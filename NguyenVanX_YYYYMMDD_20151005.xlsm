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0" yWindow="60" windowWidth="15360" windowHeight="7695" tabRatio="790" firstSheet="2" activeTab="13"/>
  </bookViews>
  <sheets>
    <sheet name="EVALUATION SUMMARY" sheetId="15" state="hidden" r:id="rId1"/>
    <sheet name="MBO Sheet (B term)" sheetId="14" state="hidden" r:id="rId2"/>
    <sheet name="MBO Sheet (A term)" sheetId="1" r:id="rId3"/>
    <sheet name="Task #B1" sheetId="29" state="hidden" r:id="rId4"/>
    <sheet name="Task #B2" sheetId="30" state="hidden" r:id="rId5"/>
    <sheet name="Task #B3" sheetId="31" state="hidden" r:id="rId6"/>
    <sheet name="Task #B4" sheetId="32" state="hidden" r:id="rId7"/>
    <sheet name="Task #B5" sheetId="33" state="hidden" r:id="rId8"/>
    <sheet name="Task #A1" sheetId="2" r:id="rId9"/>
    <sheet name="Task #A2" sheetId="23" r:id="rId10"/>
    <sheet name="Task #A3" sheetId="24" r:id="rId11"/>
    <sheet name="Task #A4" sheetId="28" r:id="rId12"/>
    <sheet name="Task #A5" sheetId="26" r:id="rId13"/>
    <sheet name="Criteria &amp; Rating" sheetId="21" r:id="rId14"/>
    <sheet name="Responsibility vs. Grade" sheetId="22" r:id="rId15"/>
    <sheet name="Grade &amp; Title" sheetId="16" r:id="rId16"/>
  </sheets>
  <externalReferences>
    <externalReference r:id="rId17"/>
  </externalReferences>
  <definedNames>
    <definedName name="_xlnm._FilterDatabase" localSheetId="15" hidden="1">'Grade &amp; Title'!$A$1:$B$1</definedName>
    <definedName name="DEVELOPMENT_OTHER" localSheetId="9">'Task #A2'!$B$9:$K$19</definedName>
    <definedName name="DEVELOPMENT_OTHER" localSheetId="10">'Task #A3'!$B$9:$K$19</definedName>
    <definedName name="DEVELOPMENT_OTHER" localSheetId="11">'Task #A4'!$B$9:$K$19</definedName>
    <definedName name="DEVELOPMENT_OTHER" localSheetId="12">'Task #A5'!$B$9:$K$19</definedName>
    <definedName name="DEVELOPMENT_OTHER" localSheetId="4">'Task #B2'!$B$9:$K$19</definedName>
    <definedName name="DEVELOPMENT_OTHER" localSheetId="5">'Task #B3'!$B$9:$K$19</definedName>
    <definedName name="DEVELOPMENT_OTHER" localSheetId="6">'Task #B4'!$B$9:$K$19</definedName>
    <definedName name="DEVELOPMENT_OTHER" localSheetId="7">'Task #B5'!$B$9:$K$19</definedName>
    <definedName name="DEVELOPMENT_OTHER">'Task #A1'!$B$9:$K$19</definedName>
    <definedName name="MANAGEMENT_WORK" localSheetId="9">'Task #A2'!$B$22:$K$32</definedName>
    <definedName name="MANAGEMENT_WORK" localSheetId="10">'Task #A3'!$B$22:$K$32</definedName>
    <definedName name="MANAGEMENT_WORK" localSheetId="11">'Task #A4'!$B$22:$K$32</definedName>
    <definedName name="MANAGEMENT_WORK" localSheetId="12">'Task #A5'!$B$22:$K$32</definedName>
    <definedName name="MANAGEMENT_WORK" localSheetId="4">'Task #B2'!$B$22:$K$32</definedName>
    <definedName name="MANAGEMENT_WORK" localSheetId="5">'Task #B3'!$B$22:$K$32</definedName>
    <definedName name="MANAGEMENT_WORK" localSheetId="6">'Task #B4'!$B$22:$K$32</definedName>
    <definedName name="MANAGEMENT_WORK" localSheetId="7">'Task #B5'!$B$22:$K$32</definedName>
    <definedName name="MANAGEMENT_WORK">'Task #A1'!$B$22:$K$32</definedName>
    <definedName name="_xlnm.Print_Area" localSheetId="13">'Criteria &amp; Rating'!$A$2:$J$207</definedName>
    <definedName name="_xlnm.Print_Area" localSheetId="0">'EVALUATION SUMMARY'!$B$2:$O$56</definedName>
    <definedName name="_xlnm.Print_Area" localSheetId="2">'MBO Sheet (A term)'!$B$1:$M$90</definedName>
    <definedName name="_xlnm.Print_Area" localSheetId="1">'MBO Sheet (B term)'!$B$1:$M$90</definedName>
    <definedName name="TASK_TYPE" localSheetId="13">'[1]Task #1'!$C$3</definedName>
    <definedName name="TASK_TYPE" localSheetId="14">'[1]Task #1'!$C$3</definedName>
    <definedName name="TASK_TYPE" localSheetId="9">'Task #A2'!$C$3</definedName>
    <definedName name="TASK_TYPE" localSheetId="10">'Task #A3'!$C$3</definedName>
    <definedName name="TASK_TYPE" localSheetId="11">'Task #A4'!$C$3</definedName>
    <definedName name="TASK_TYPE" localSheetId="12">'Task #A5'!$C$3</definedName>
    <definedName name="TASK_TYPE" localSheetId="4">'Task #B2'!$C$3</definedName>
    <definedName name="TASK_TYPE" localSheetId="5">'Task #B3'!$C$3</definedName>
    <definedName name="TASK_TYPE" localSheetId="6">'Task #B4'!$C$3</definedName>
    <definedName name="TASK_TYPE" localSheetId="7">'Task #B5'!$C$3</definedName>
    <definedName name="TASK_TYPE">'Task #A1'!$C$3</definedName>
  </definedNames>
  <calcPr calcId="145621"/>
</workbook>
</file>

<file path=xl/calcChain.xml><?xml version="1.0" encoding="utf-8"?>
<calcChain xmlns="http://schemas.openxmlformats.org/spreadsheetml/2006/main">
  <c r="G24" i="14" l="1"/>
  <c r="K28" i="14"/>
  <c r="L28" i="14" s="1"/>
  <c r="C31" i="14"/>
  <c r="C29" i="14"/>
  <c r="C27" i="14"/>
  <c r="C25" i="14"/>
  <c r="C23" i="14"/>
  <c r="M54" i="14"/>
  <c r="D68" i="14" s="1"/>
  <c r="L54" i="14"/>
  <c r="M45" i="14"/>
  <c r="D67" i="14" s="1"/>
  <c r="L45" i="14"/>
  <c r="H45" i="14"/>
  <c r="M35" i="14"/>
  <c r="D66" i="14" s="1"/>
  <c r="D35" i="14"/>
  <c r="L22" i="14"/>
  <c r="H22" i="14"/>
  <c r="L20" i="14"/>
  <c r="H20" i="14"/>
  <c r="J32" i="33"/>
  <c r="J35" i="33" s="1"/>
  <c r="H32" i="33"/>
  <c r="H35" i="33" s="1"/>
  <c r="K32" i="14" s="1"/>
  <c r="L32" i="14" s="1"/>
  <c r="F32" i="33"/>
  <c r="F35" i="33" s="1"/>
  <c r="G32" i="14" s="1"/>
  <c r="H32" i="14" s="1"/>
  <c r="D32" i="33"/>
  <c r="D35" i="33" s="1"/>
  <c r="K31" i="33"/>
  <c r="I31" i="33"/>
  <c r="G31" i="33"/>
  <c r="E31" i="33"/>
  <c r="K30" i="33"/>
  <c r="I30" i="33"/>
  <c r="G30" i="33"/>
  <c r="E30" i="33"/>
  <c r="K29" i="33"/>
  <c r="I29" i="33"/>
  <c r="G29" i="33"/>
  <c r="E29" i="33"/>
  <c r="K28" i="33"/>
  <c r="I28" i="33"/>
  <c r="G28" i="33"/>
  <c r="E28" i="33"/>
  <c r="K27" i="33"/>
  <c r="I27" i="33"/>
  <c r="G27" i="33"/>
  <c r="E27" i="33"/>
  <c r="K26" i="33"/>
  <c r="I26" i="33"/>
  <c r="G26" i="33"/>
  <c r="E26" i="33"/>
  <c r="J19" i="33"/>
  <c r="H19" i="33"/>
  <c r="F19" i="33"/>
  <c r="D19" i="33"/>
  <c r="K18" i="33"/>
  <c r="I18" i="33"/>
  <c r="G18" i="33"/>
  <c r="E18" i="33"/>
  <c r="K17" i="33"/>
  <c r="I17" i="33"/>
  <c r="G17" i="33"/>
  <c r="E17" i="33"/>
  <c r="K16" i="33"/>
  <c r="I16" i="33"/>
  <c r="G16" i="33"/>
  <c r="E16" i="33"/>
  <c r="K15" i="33"/>
  <c r="I15" i="33"/>
  <c r="G15" i="33"/>
  <c r="E15" i="33"/>
  <c r="K14" i="33"/>
  <c r="I14" i="33"/>
  <c r="G14" i="33"/>
  <c r="E14" i="33"/>
  <c r="K13" i="33"/>
  <c r="I13" i="33"/>
  <c r="G13" i="33"/>
  <c r="E13" i="33"/>
  <c r="E8" i="33"/>
  <c r="J32" i="32"/>
  <c r="H32" i="32"/>
  <c r="F32" i="32"/>
  <c r="D32" i="32"/>
  <c r="K31" i="32"/>
  <c r="I31" i="32"/>
  <c r="G31" i="32"/>
  <c r="E31" i="32"/>
  <c r="K30" i="32"/>
  <c r="I30" i="32"/>
  <c r="G30" i="32"/>
  <c r="E30" i="32"/>
  <c r="K29" i="32"/>
  <c r="I29" i="32"/>
  <c r="G29" i="32"/>
  <c r="E29" i="32"/>
  <c r="K28" i="32"/>
  <c r="I28" i="32"/>
  <c r="G28" i="32"/>
  <c r="E28" i="32"/>
  <c r="K27" i="32"/>
  <c r="I27" i="32"/>
  <c r="G27" i="32"/>
  <c r="E27" i="32"/>
  <c r="K26" i="32"/>
  <c r="I26" i="32"/>
  <c r="G26" i="32"/>
  <c r="E26" i="32"/>
  <c r="J19" i="32"/>
  <c r="J35" i="32" s="1"/>
  <c r="H19" i="32"/>
  <c r="H35" i="32" s="1"/>
  <c r="K30" i="14" s="1"/>
  <c r="L30" i="14" s="1"/>
  <c r="F19" i="32"/>
  <c r="F35" i="32" s="1"/>
  <c r="G30" i="14" s="1"/>
  <c r="H30" i="14" s="1"/>
  <c r="D19" i="32"/>
  <c r="D35" i="32" s="1"/>
  <c r="K18" i="32"/>
  <c r="I18" i="32"/>
  <c r="G18" i="32"/>
  <c r="E18" i="32"/>
  <c r="K17" i="32"/>
  <c r="I17" i="32"/>
  <c r="G17" i="32"/>
  <c r="E17" i="32"/>
  <c r="K16" i="32"/>
  <c r="I16" i="32"/>
  <c r="G16" i="32"/>
  <c r="E16" i="32"/>
  <c r="K15" i="32"/>
  <c r="I15" i="32"/>
  <c r="G15" i="32"/>
  <c r="E15" i="32"/>
  <c r="K14" i="32"/>
  <c r="I14" i="32"/>
  <c r="G14" i="32"/>
  <c r="E14" i="32"/>
  <c r="K13" i="32"/>
  <c r="I13" i="32"/>
  <c r="G13" i="32"/>
  <c r="E13" i="32"/>
  <c r="E8" i="32"/>
  <c r="J32" i="31"/>
  <c r="H32" i="31"/>
  <c r="F32" i="31"/>
  <c r="D32" i="31"/>
  <c r="K31" i="31"/>
  <c r="I31" i="31"/>
  <c r="G31" i="31"/>
  <c r="E31" i="31"/>
  <c r="K30" i="31"/>
  <c r="I30" i="31"/>
  <c r="G30" i="31"/>
  <c r="E30" i="31"/>
  <c r="K29" i="31"/>
  <c r="I29" i="31"/>
  <c r="G29" i="31"/>
  <c r="E29" i="31"/>
  <c r="K28" i="31"/>
  <c r="I28" i="31"/>
  <c r="G28" i="31"/>
  <c r="E28" i="31"/>
  <c r="K27" i="31"/>
  <c r="I27" i="31"/>
  <c r="G27" i="31"/>
  <c r="E27" i="31"/>
  <c r="K26" i="31"/>
  <c r="I26" i="31"/>
  <c r="G26" i="31"/>
  <c r="E26" i="31"/>
  <c r="J19" i="31"/>
  <c r="J35" i="31" s="1"/>
  <c r="H19" i="31"/>
  <c r="H35" i="31" s="1"/>
  <c r="F19" i="31"/>
  <c r="F35" i="31" s="1"/>
  <c r="G28" i="14" s="1"/>
  <c r="H28" i="14" s="1"/>
  <c r="D19" i="31"/>
  <c r="D35" i="31" s="1"/>
  <c r="K18" i="31"/>
  <c r="I18" i="31"/>
  <c r="G18" i="31"/>
  <c r="E18" i="31"/>
  <c r="K17" i="31"/>
  <c r="I17" i="31"/>
  <c r="G17" i="31"/>
  <c r="E17" i="31"/>
  <c r="K16" i="31"/>
  <c r="I16" i="31"/>
  <c r="G16" i="31"/>
  <c r="E16" i="31"/>
  <c r="K15" i="31"/>
  <c r="I15" i="31"/>
  <c r="G15" i="31"/>
  <c r="E15" i="31"/>
  <c r="K14" i="31"/>
  <c r="I14" i="31"/>
  <c r="G14" i="31"/>
  <c r="E14" i="31"/>
  <c r="K13" i="31"/>
  <c r="I13" i="31"/>
  <c r="G13" i="31"/>
  <c r="E13" i="31"/>
  <c r="E8" i="31"/>
  <c r="J32" i="30"/>
  <c r="J35" i="30" s="1"/>
  <c r="H32" i="30"/>
  <c r="H35" i="30" s="1"/>
  <c r="K26" i="14" s="1"/>
  <c r="L26" i="14" s="1"/>
  <c r="F32" i="30"/>
  <c r="F35" i="30" s="1"/>
  <c r="G26" i="14" s="1"/>
  <c r="H26" i="14" s="1"/>
  <c r="D32" i="30"/>
  <c r="D35" i="30" s="1"/>
  <c r="K31" i="30"/>
  <c r="I31" i="30"/>
  <c r="G31" i="30"/>
  <c r="E31" i="30"/>
  <c r="K30" i="30"/>
  <c r="I30" i="30"/>
  <c r="G30" i="30"/>
  <c r="E30" i="30"/>
  <c r="K29" i="30"/>
  <c r="I29" i="30"/>
  <c r="G29" i="30"/>
  <c r="E29" i="30"/>
  <c r="K28" i="30"/>
  <c r="I28" i="30"/>
  <c r="G28" i="30"/>
  <c r="E28" i="30"/>
  <c r="K27" i="30"/>
  <c r="I27" i="30"/>
  <c r="G27" i="30"/>
  <c r="E27" i="30"/>
  <c r="K26" i="30"/>
  <c r="I26" i="30"/>
  <c r="G26" i="30"/>
  <c r="E26" i="30"/>
  <c r="J19" i="30"/>
  <c r="H19" i="30"/>
  <c r="F19" i="30"/>
  <c r="D19" i="30"/>
  <c r="K18" i="30"/>
  <c r="I18" i="30"/>
  <c r="G18" i="30"/>
  <c r="E18" i="30"/>
  <c r="K17" i="30"/>
  <c r="I17" i="30"/>
  <c r="G17" i="30"/>
  <c r="E17" i="30"/>
  <c r="K16" i="30"/>
  <c r="I16" i="30"/>
  <c r="G16" i="30"/>
  <c r="E16" i="30"/>
  <c r="K15" i="30"/>
  <c r="I15" i="30"/>
  <c r="G15" i="30"/>
  <c r="E15" i="30"/>
  <c r="K14" i="30"/>
  <c r="I14" i="30"/>
  <c r="G14" i="30"/>
  <c r="E14" i="30"/>
  <c r="K13" i="30"/>
  <c r="I13" i="30"/>
  <c r="G13" i="30"/>
  <c r="E13" i="30"/>
  <c r="E8" i="30"/>
  <c r="J32" i="29"/>
  <c r="H32" i="29"/>
  <c r="F32" i="29"/>
  <c r="D32" i="29"/>
  <c r="K31" i="29"/>
  <c r="I31" i="29"/>
  <c r="G31" i="29"/>
  <c r="E31" i="29"/>
  <c r="K30" i="29"/>
  <c r="I30" i="29"/>
  <c r="G30" i="29"/>
  <c r="E30" i="29"/>
  <c r="K29" i="29"/>
  <c r="I29" i="29"/>
  <c r="G29" i="29"/>
  <c r="E29" i="29"/>
  <c r="K28" i="29"/>
  <c r="I28" i="29"/>
  <c r="G28" i="29"/>
  <c r="E28" i="29"/>
  <c r="K27" i="29"/>
  <c r="I27" i="29"/>
  <c r="G27" i="29"/>
  <c r="E27" i="29"/>
  <c r="K26" i="29"/>
  <c r="I26" i="29"/>
  <c r="G26" i="29"/>
  <c r="E26" i="29"/>
  <c r="J19" i="29"/>
  <c r="J35" i="29" s="1"/>
  <c r="H19" i="29"/>
  <c r="H35" i="29" s="1"/>
  <c r="K24" i="14" s="1"/>
  <c r="L24" i="14" s="1"/>
  <c r="F19" i="29"/>
  <c r="F35" i="29" s="1"/>
  <c r="D19" i="29"/>
  <c r="D35" i="29" s="1"/>
  <c r="K18" i="29"/>
  <c r="I18" i="29"/>
  <c r="G18" i="29"/>
  <c r="E18" i="29"/>
  <c r="K17" i="29"/>
  <c r="I17" i="29"/>
  <c r="G17" i="29"/>
  <c r="E17" i="29"/>
  <c r="K16" i="29"/>
  <c r="I16" i="29"/>
  <c r="G16" i="29"/>
  <c r="E16" i="29"/>
  <c r="K15" i="29"/>
  <c r="I15" i="29"/>
  <c r="G15" i="29"/>
  <c r="E15" i="29"/>
  <c r="K14" i="29"/>
  <c r="I14" i="29"/>
  <c r="G14" i="29"/>
  <c r="E14" i="29"/>
  <c r="K13" i="29"/>
  <c r="I13" i="29"/>
  <c r="G13" i="29"/>
  <c r="E13" i="29"/>
  <c r="E8" i="29"/>
  <c r="D69" i="14" l="1"/>
  <c r="H24" i="14"/>
  <c r="H35" i="14"/>
  <c r="L35" i="14"/>
  <c r="K30" i="1"/>
  <c r="L30" i="1" s="1"/>
  <c r="C29" i="1"/>
  <c r="J32" i="28"/>
  <c r="H32" i="28"/>
  <c r="F32" i="28"/>
  <c r="D32" i="28"/>
  <c r="K31" i="28"/>
  <c r="I31" i="28"/>
  <c r="G31" i="28"/>
  <c r="E31" i="28"/>
  <c r="K30" i="28"/>
  <c r="I30" i="28"/>
  <c r="G30" i="28"/>
  <c r="E30" i="28"/>
  <c r="K29" i="28"/>
  <c r="I29" i="28"/>
  <c r="G29" i="28"/>
  <c r="E29" i="28"/>
  <c r="K28" i="28"/>
  <c r="I28" i="28"/>
  <c r="G28" i="28"/>
  <c r="E28" i="28"/>
  <c r="K27" i="28"/>
  <c r="I27" i="28"/>
  <c r="G27" i="28"/>
  <c r="E27" i="28"/>
  <c r="K26" i="28"/>
  <c r="I26" i="28"/>
  <c r="G26" i="28"/>
  <c r="E26" i="28"/>
  <c r="J19" i="28"/>
  <c r="J35" i="28" s="1"/>
  <c r="H19" i="28"/>
  <c r="H35" i="28" s="1"/>
  <c r="F19" i="28"/>
  <c r="F35" i="28" s="1"/>
  <c r="G30" i="1" s="1"/>
  <c r="D19" i="28"/>
  <c r="D35" i="28" s="1"/>
  <c r="K18" i="28"/>
  <c r="I18" i="28"/>
  <c r="G18" i="28"/>
  <c r="E18" i="28"/>
  <c r="K17" i="28"/>
  <c r="I17" i="28"/>
  <c r="G17" i="28"/>
  <c r="E17" i="28"/>
  <c r="K16" i="28"/>
  <c r="I16" i="28"/>
  <c r="G16" i="28"/>
  <c r="E16" i="28"/>
  <c r="K15" i="28"/>
  <c r="I15" i="28"/>
  <c r="G15" i="28"/>
  <c r="E15" i="28"/>
  <c r="K14" i="28"/>
  <c r="I14" i="28"/>
  <c r="G14" i="28"/>
  <c r="E14" i="28"/>
  <c r="K13" i="28"/>
  <c r="I13" i="28"/>
  <c r="G13" i="28"/>
  <c r="E13" i="28"/>
  <c r="E8" i="28"/>
  <c r="L20" i="1"/>
  <c r="C31" i="1"/>
  <c r="C27" i="1"/>
  <c r="C25" i="1"/>
  <c r="C23" i="1"/>
  <c r="J32" i="26"/>
  <c r="H32" i="26"/>
  <c r="F32" i="26"/>
  <c r="D32" i="26"/>
  <c r="K31" i="26"/>
  <c r="I31" i="26"/>
  <c r="G31" i="26"/>
  <c r="E31" i="26"/>
  <c r="K30" i="26"/>
  <c r="I30" i="26"/>
  <c r="G30" i="26"/>
  <c r="E30" i="26"/>
  <c r="K29" i="26"/>
  <c r="I29" i="26"/>
  <c r="G29" i="26"/>
  <c r="E29" i="26"/>
  <c r="K28" i="26"/>
  <c r="I28" i="26"/>
  <c r="G28" i="26"/>
  <c r="E28" i="26"/>
  <c r="K27" i="26"/>
  <c r="I27" i="26"/>
  <c r="G27" i="26"/>
  <c r="E27" i="26"/>
  <c r="K26" i="26"/>
  <c r="I26" i="26"/>
  <c r="G26" i="26"/>
  <c r="E26" i="26"/>
  <c r="J19" i="26"/>
  <c r="H19" i="26"/>
  <c r="F19" i="26"/>
  <c r="D19" i="26"/>
  <c r="K18" i="26"/>
  <c r="I18" i="26"/>
  <c r="G18" i="26"/>
  <c r="E18" i="26"/>
  <c r="K17" i="26"/>
  <c r="I17" i="26"/>
  <c r="G17" i="26"/>
  <c r="E17" i="26"/>
  <c r="K16" i="26"/>
  <c r="I16" i="26"/>
  <c r="G16" i="26"/>
  <c r="E16" i="26"/>
  <c r="K15" i="26"/>
  <c r="I15" i="26"/>
  <c r="G15" i="26"/>
  <c r="E15" i="26"/>
  <c r="K14" i="26"/>
  <c r="I14" i="26"/>
  <c r="G14" i="26"/>
  <c r="E14" i="26"/>
  <c r="K13" i="26"/>
  <c r="I13" i="26"/>
  <c r="G13" i="26"/>
  <c r="E13" i="26"/>
  <c r="E8" i="26"/>
  <c r="J32" i="24"/>
  <c r="H32" i="24"/>
  <c r="F32" i="24"/>
  <c r="D32" i="24"/>
  <c r="K31" i="24"/>
  <c r="I31" i="24"/>
  <c r="G31" i="24"/>
  <c r="E31" i="24"/>
  <c r="K30" i="24"/>
  <c r="I30" i="24"/>
  <c r="G30" i="24"/>
  <c r="E30" i="24"/>
  <c r="K29" i="24"/>
  <c r="I29" i="24"/>
  <c r="G29" i="24"/>
  <c r="E29" i="24"/>
  <c r="K28" i="24"/>
  <c r="I28" i="24"/>
  <c r="G28" i="24"/>
  <c r="E28" i="24"/>
  <c r="K27" i="24"/>
  <c r="I27" i="24"/>
  <c r="G27" i="24"/>
  <c r="E27" i="24"/>
  <c r="K26" i="24"/>
  <c r="I26" i="24"/>
  <c r="G26" i="24"/>
  <c r="E26" i="24"/>
  <c r="J19" i="24"/>
  <c r="H19" i="24"/>
  <c r="F19" i="24"/>
  <c r="D19" i="24"/>
  <c r="K18" i="24"/>
  <c r="I18" i="24"/>
  <c r="G18" i="24"/>
  <c r="E18" i="24"/>
  <c r="K17" i="24"/>
  <c r="I17" i="24"/>
  <c r="G17" i="24"/>
  <c r="E17" i="24"/>
  <c r="K16" i="24"/>
  <c r="I16" i="24"/>
  <c r="G16" i="24"/>
  <c r="E16" i="24"/>
  <c r="K15" i="24"/>
  <c r="I15" i="24"/>
  <c r="G15" i="24"/>
  <c r="E15" i="24"/>
  <c r="K14" i="24"/>
  <c r="I14" i="24"/>
  <c r="G14" i="24"/>
  <c r="E14" i="24"/>
  <c r="K13" i="24"/>
  <c r="I13" i="24"/>
  <c r="G13" i="24"/>
  <c r="E13" i="24"/>
  <c r="E8" i="24"/>
  <c r="J32" i="23"/>
  <c r="H32" i="23"/>
  <c r="F32" i="23"/>
  <c r="D32" i="23"/>
  <c r="K31" i="23"/>
  <c r="I31" i="23"/>
  <c r="G31" i="23"/>
  <c r="E31" i="23"/>
  <c r="K30" i="23"/>
  <c r="I30" i="23"/>
  <c r="G30" i="23"/>
  <c r="E30" i="23"/>
  <c r="K29" i="23"/>
  <c r="I29" i="23"/>
  <c r="G29" i="23"/>
  <c r="E29" i="23"/>
  <c r="K28" i="23"/>
  <c r="I28" i="23"/>
  <c r="G28" i="23"/>
  <c r="E28" i="23"/>
  <c r="K27" i="23"/>
  <c r="I27" i="23"/>
  <c r="G27" i="23"/>
  <c r="E27" i="23"/>
  <c r="K26" i="23"/>
  <c r="I26" i="23"/>
  <c r="G26" i="23"/>
  <c r="E26" i="23"/>
  <c r="J19" i="23"/>
  <c r="H19" i="23"/>
  <c r="F19" i="23"/>
  <c r="D19" i="23"/>
  <c r="K18" i="23"/>
  <c r="I18" i="23"/>
  <c r="G18" i="23"/>
  <c r="E18" i="23"/>
  <c r="K17" i="23"/>
  <c r="I17" i="23"/>
  <c r="G17" i="23"/>
  <c r="E17" i="23"/>
  <c r="K16" i="23"/>
  <c r="I16" i="23"/>
  <c r="G16" i="23"/>
  <c r="E16" i="23"/>
  <c r="K15" i="23"/>
  <c r="I15" i="23"/>
  <c r="G15" i="23"/>
  <c r="E15" i="23"/>
  <c r="K14" i="23"/>
  <c r="I14" i="23"/>
  <c r="G14" i="23"/>
  <c r="E14" i="23"/>
  <c r="K13" i="23"/>
  <c r="I13" i="23"/>
  <c r="G13" i="23"/>
  <c r="E13" i="23"/>
  <c r="E8" i="23"/>
  <c r="F35" i="24" l="1"/>
  <c r="G28" i="1" s="1"/>
  <c r="H35" i="24"/>
  <c r="K28" i="1" s="1"/>
  <c r="L28" i="1" s="1"/>
  <c r="J35" i="24"/>
  <c r="D35" i="24"/>
  <c r="H35" i="26"/>
  <c r="K32" i="1" s="1"/>
  <c r="L32" i="1" s="1"/>
  <c r="J35" i="26"/>
  <c r="D35" i="26"/>
  <c r="F35" i="26"/>
  <c r="G32" i="1" s="1"/>
  <c r="F35" i="23"/>
  <c r="G26" i="1" s="1"/>
  <c r="H35" i="23"/>
  <c r="K26" i="1" s="1"/>
  <c r="L26" i="1" s="1"/>
  <c r="J35" i="23"/>
  <c r="D35" i="23"/>
  <c r="K18" i="2"/>
  <c r="I18" i="2"/>
  <c r="G18" i="2"/>
  <c r="K17" i="2"/>
  <c r="I17" i="2"/>
  <c r="G17" i="2"/>
  <c r="K16" i="2"/>
  <c r="I16" i="2"/>
  <c r="G16" i="2"/>
  <c r="K15" i="2"/>
  <c r="I15" i="2"/>
  <c r="G15" i="2"/>
  <c r="K14" i="2"/>
  <c r="I14" i="2"/>
  <c r="G14" i="2"/>
  <c r="K13" i="2"/>
  <c r="I13" i="2"/>
  <c r="G13" i="2"/>
  <c r="E18" i="2"/>
  <c r="E17" i="2"/>
  <c r="E16" i="2"/>
  <c r="E15" i="2"/>
  <c r="E14" i="2"/>
  <c r="E13" i="2"/>
  <c r="E8" i="2"/>
  <c r="J32" i="2"/>
  <c r="H32" i="2"/>
  <c r="F32" i="2"/>
  <c r="D32" i="2"/>
  <c r="K31" i="2"/>
  <c r="K30" i="2"/>
  <c r="K29" i="2"/>
  <c r="K28" i="2"/>
  <c r="K27" i="2"/>
  <c r="K26" i="2"/>
  <c r="I31" i="2"/>
  <c r="I30" i="2"/>
  <c r="I29" i="2"/>
  <c r="I28" i="2"/>
  <c r="I27" i="2"/>
  <c r="I26" i="2"/>
  <c r="G31" i="2"/>
  <c r="G30" i="2"/>
  <c r="G29" i="2"/>
  <c r="G28" i="2"/>
  <c r="G27" i="2"/>
  <c r="G26" i="2"/>
  <c r="E31" i="2"/>
  <c r="E30" i="2"/>
  <c r="E29" i="2"/>
  <c r="E28" i="2"/>
  <c r="E27" i="2"/>
  <c r="E26" i="2"/>
  <c r="M35" i="1" l="1"/>
  <c r="F15" i="15" s="1"/>
  <c r="D4" i="15" l="1"/>
  <c r="E40" i="16"/>
  <c r="E39" i="16"/>
  <c r="E38" i="16"/>
  <c r="E37" i="16"/>
  <c r="E36" i="16"/>
  <c r="E35" i="16"/>
  <c r="E34" i="16"/>
  <c r="E33" i="16"/>
  <c r="E32" i="16"/>
  <c r="E31" i="16"/>
  <c r="E30" i="16"/>
  <c r="E22" i="15" l="1"/>
  <c r="D22" i="15"/>
  <c r="F28" i="15" l="1"/>
  <c r="F22" i="15"/>
  <c r="F16" i="15"/>
  <c r="F17" i="15" s="1"/>
  <c r="D34" i="15" l="1"/>
  <c r="H28" i="1" l="1"/>
  <c r="H30" i="1"/>
  <c r="H32" i="1"/>
  <c r="M45" i="1"/>
  <c r="F21" i="15" s="1"/>
  <c r="L45" i="1"/>
  <c r="E21" i="15" s="1"/>
  <c r="E23" i="15" s="1"/>
  <c r="H45" i="1"/>
  <c r="D21" i="15" s="1"/>
  <c r="D23" i="15" s="1"/>
  <c r="F23" i="15" l="1"/>
  <c r="H26" i="1"/>
  <c r="L22" i="1"/>
  <c r="H22" i="1"/>
  <c r="H20" i="1"/>
  <c r="M54" i="1"/>
  <c r="F27" i="15" s="1"/>
  <c r="F29" i="15" s="1"/>
  <c r="L54" i="1"/>
  <c r="D33" i="15" l="1"/>
  <c r="D35" i="15" s="1"/>
  <c r="D68" i="1"/>
  <c r="D35" i="1" l="1"/>
  <c r="J19" i="2"/>
  <c r="H19" i="2"/>
  <c r="D19" i="2"/>
  <c r="F19" i="2"/>
  <c r="D67" i="1"/>
  <c r="J35" i="2" l="1"/>
  <c r="D66" i="1" s="1"/>
  <c r="F35" i="2"/>
  <c r="H35" i="2"/>
  <c r="D35" i="2"/>
  <c r="D69" i="1"/>
  <c r="E16" i="15" l="1"/>
  <c r="K24" i="1"/>
  <c r="L24" i="1" s="1"/>
  <c r="G24" i="1"/>
  <c r="H24" i="1" s="1"/>
  <c r="H35" i="1" s="1"/>
  <c r="D15" i="15" s="1"/>
  <c r="D16" i="15"/>
  <c r="D17" i="15" l="1"/>
  <c r="L35" i="1"/>
  <c r="E15" i="15" s="1"/>
  <c r="E17" i="15" s="1"/>
</calcChain>
</file>

<file path=xl/sharedStrings.xml><?xml version="1.0" encoding="utf-8"?>
<sst xmlns="http://schemas.openxmlformats.org/spreadsheetml/2006/main" count="1071" uniqueCount="336">
  <si>
    <t>Appraisee</t>
  </si>
  <si>
    <t>Appraiser</t>
  </si>
  <si>
    <t>Reviewer</t>
  </si>
  <si>
    <t>Name:</t>
  </si>
  <si>
    <t>Date of Register:</t>
  </si>
  <si>
    <t>Date of Follow:</t>
  </si>
  <si>
    <t>Date of Final:</t>
  </si>
  <si>
    <t>1. ORGANIZATION TARGET</t>
  </si>
  <si>
    <t>1. JOB TARGET</t>
  </si>
  <si>
    <t>Final</t>
  </si>
  <si>
    <t>Task
No.</t>
  </si>
  <si>
    <t>Traget</t>
  </si>
  <si>
    <t>W
(%)</t>
  </si>
  <si>
    <t>comment</t>
  </si>
  <si>
    <t>D
(1-5)</t>
  </si>
  <si>
    <t>A
(1-5)</t>
  </si>
  <si>
    <t>Score
(1- 5)</t>
  </si>
  <si>
    <t>2. ATTITUDE</t>
  </si>
  <si>
    <t>Item
No.</t>
  </si>
  <si>
    <t>Item</t>
  </si>
  <si>
    <t>No.</t>
  </si>
  <si>
    <t>4. TRAINING / EDUCATION</t>
  </si>
  <si>
    <t>Prio</t>
  </si>
  <si>
    <t>4. FINAL EVALUATION</t>
  </si>
  <si>
    <t>Target Achievement</t>
  </si>
  <si>
    <t xml:space="preserve">Attitude </t>
  </si>
  <si>
    <t>Additional Achievement</t>
  </si>
  <si>
    <t>FINAL SCORE</t>
  </si>
  <si>
    <t>4. CONFIRMATION</t>
  </si>
  <si>
    <t>comment by appraisee</t>
  </si>
  <si>
    <t>Appraisee name &amp; date</t>
  </si>
  <si>
    <t>comment by appraiser</t>
  </si>
  <si>
    <t>comment by reviewer</t>
  </si>
  <si>
    <t>Appraiser name &amp; date</t>
  </si>
  <si>
    <t>Reviewer name &amp; date</t>
  </si>
  <si>
    <t>Job Description</t>
  </si>
  <si>
    <t>Quality of Work</t>
  </si>
  <si>
    <t>Supervision Required</t>
  </si>
  <si>
    <t>Initiative</t>
  </si>
  <si>
    <t>Job Knowledge</t>
  </si>
  <si>
    <t>The employee’s level of productivity/output and timeliness of work.</t>
  </si>
  <si>
    <t>The amount of direction and supervision the employee requires.</t>
  </si>
  <si>
    <t>Decision Making/Problem Solving</t>
  </si>
  <si>
    <t>The degree to which the employee produces accurate, neat and thorough work.</t>
  </si>
  <si>
    <t>The employee’s ability to recognize and analyze problems, evaluate solutions and make recommendations.</t>
  </si>
  <si>
    <t>The degree to which the employee demonstrates independent action and resourcefulness on the job by developing new methods, offering constructive suggestions and/or seeking additional work.</t>
  </si>
  <si>
    <t>Evaluation Scale</t>
  </si>
  <si>
    <t>Consistently produces work of highest quality.</t>
  </si>
  <si>
    <t>Produces high quality work; makes few errors.</t>
  </si>
  <si>
    <t>Produces acceptable work.</t>
  </si>
  <si>
    <t>Produces marginally acceptable work; makes more than an average number of errors.</t>
  </si>
  <si>
    <t>Produces unacceptable work; makes excessive errors.</t>
  </si>
  <si>
    <t>Consistently exceeds productivity requirements; consistently completes work ahead of schedule;
seeks additional tasks; highest output level.</t>
  </si>
  <si>
    <t>Exceeds productivity requirements; completes work ahead of schedule; above average output level.</t>
  </si>
  <si>
    <t>Meets basic productivity requirements; meets deadlines; acceptable output level.</t>
  </si>
  <si>
    <t>Below basic productivity requirements; often misses deadlines; marginal output level.</t>
  </si>
  <si>
    <t>Fails to meet basic productivity requirements; misses deadlines, unsatisfactory output level.</t>
  </si>
  <si>
    <t>Requires little or no direction/supervision, even on non-routine assignments.</t>
  </si>
  <si>
    <t>Requires less than normal direction/supervision, even on non-routine assignments.</t>
  </si>
  <si>
    <t>Requires more than normal direction and supervision to complete assignments.</t>
  </si>
  <si>
    <t>Requires constant direction and supervision to complete assignments.</t>
  </si>
  <si>
    <t>Demonstrates good problem-solving skills; occasionally able to handle complex problems.</t>
  </si>
  <si>
    <t>Solves routine problems satisfactorily; requires assistance with complex problems.</t>
  </si>
  <si>
    <t>Has difficulty recognizing and solving routine problems; analytical skills need improvement.</t>
  </si>
  <si>
    <t>Cannot recognize or solve problems; does not show evidence of needed analytical skills.</t>
  </si>
  <si>
    <t>Consistently demonstrates outstanding problem-solving skills; able to handle complex problems creatively.</t>
  </si>
  <si>
    <t>Requires normal direction/supervision on routine assignments; requires assistance with non-routine assignments.</t>
  </si>
  <si>
    <t>Has exceptional knowledge and outstanding skills in even the complex aspects of the job.</t>
  </si>
  <si>
    <t>Has better than average knowledge and skills in all aspects of the job.</t>
  </si>
  <si>
    <t>Has knowledge and skills to handle job duties.</t>
  </si>
  <si>
    <t>Occasionally lacks knowledge or skills to handle certain job duties.</t>
  </si>
  <si>
    <t>Application of knowledge is limited. Required skills are poorly demonstrated.</t>
  </si>
  <si>
    <t>Consistently exceeds requirements for independent action and resourcefulness; highly motivated.</t>
  </si>
  <si>
    <t>Exceeds requirements for independent action and resourcefulness; diligent worker.</t>
  </si>
  <si>
    <t>Meets basic job requirements for independent action and resourcefulness; acceptable worker.</t>
  </si>
  <si>
    <t>Sometimes lacks independent action and resourcefulness required by job; marginal worker.</t>
  </si>
  <si>
    <t>Rarely initiates independent action as required by the job.</t>
  </si>
  <si>
    <t>Weight</t>
  </si>
  <si>
    <t>Team Work</t>
  </si>
  <si>
    <t>Productivity</t>
  </si>
  <si>
    <t>The employee’s effective use of logical and organized work steps and time management.</t>
  </si>
  <si>
    <t>Plans and organizes exceptionally well; sets priorities considering broad perspective; uses time wisely.</t>
  </si>
  <si>
    <t>Plans and organizes work very well; sets priorities logically; uses time efficiently.</t>
  </si>
  <si>
    <t>Plans and organizes work well; sets priorities; uses time well.</t>
  </si>
  <si>
    <t>Sometimes does not plan and organize work well; priorities not always appropriate; sometimes wastes time.</t>
  </si>
  <si>
    <t>Does not plan and organize work well; does not set priorities; wastes time.</t>
  </si>
  <si>
    <t>Work Ethics</t>
  </si>
  <si>
    <t>Communication Skills</t>
  </si>
  <si>
    <t>Customer Relations</t>
  </si>
  <si>
    <t>The employee’s interaction with others within or outside the department or organization.</t>
  </si>
  <si>
    <t>Exceptional in anticipating and meeting customer needs; communicates well with customers.</t>
  </si>
  <si>
    <t>Anticipates and meets customer needs; communicates well with customers.</t>
  </si>
  <si>
    <t>Meets customer needs; communicates adequately with customers.</t>
  </si>
  <si>
    <t>Meets most customer needs; communication with customers needs improvement.</t>
  </si>
  <si>
    <t>Fails to meet customer needs; communicates poorly with customers.</t>
  </si>
  <si>
    <t>Work Organization/Time Management</t>
  </si>
  <si>
    <t>Is an effective team player who adds complementary skills and contributes valuable ideas, opinions and feedback.</t>
  </si>
  <si>
    <t xml:space="preserve">The employee’s proper complying company/division regulations, policies; showing willingness to comply with all reasonable requirements from managers; </t>
  </si>
  <si>
    <t>Having commitments to productivity, coworkers and work schedules; Accepting responsibility for their action.</t>
  </si>
  <si>
    <t>Practices exceptional work ethics; demonstrates exceptional integrity in all work.</t>
  </si>
  <si>
    <t>Practices excellent work ethics; demonstrates excellent integrity in all work.</t>
  </si>
  <si>
    <t>Practices good work ethics; demonstrates integrity in all work.</t>
  </si>
  <si>
    <t>Usually practices good work ethics; usually demonstrates integrity at work.</t>
  </si>
  <si>
    <t>Fails to practice good work ethics; does not demonstrate integrity at work.</t>
  </si>
  <si>
    <t>If the apraisee is a leader, following factors needed to be considered.</t>
  </si>
  <si>
    <t>Consistently demonstrates excellent communication skills.</t>
  </si>
  <si>
    <t>Demonstrates above average communication skills.</t>
  </si>
  <si>
    <t>Demonstrates acceptable communication skills.</t>
  </si>
  <si>
    <t>Communication skills need improvement.</t>
  </si>
  <si>
    <t>Lacks acceptable communication skills.</t>
  </si>
  <si>
    <t xml:space="preserve">Promptly and consistently shares relevant information with others. Listens carefully to others and seeks clarification to ensure understanding. </t>
  </si>
  <si>
    <t>Speaks and writes concisely and expressively. Comprehends and appropriately applies information to situations.</t>
  </si>
  <si>
    <t>The employee’s understanding of job duties and ability to accomplish the job with his/her own knowledges.</t>
  </si>
  <si>
    <t>This part is planned to replace for Attitude session.</t>
  </si>
  <si>
    <t>A. JOB COMPETENCY</t>
  </si>
  <si>
    <t>Job Performance Appraisal Reference</t>
  </si>
  <si>
    <t>Difficulty</t>
  </si>
  <si>
    <t>Score</t>
  </si>
  <si>
    <t>Level</t>
  </si>
  <si>
    <t>Meaning</t>
  </si>
  <si>
    <t>Evaluation Criteria</t>
  </si>
  <si>
    <t>High level target for upper level position which has average capability. It is extremely difficult to achieve the target by normal capability of applicable position.</t>
  </si>
  <si>
    <t>Appropriate target for upper level position which has average capability. It is difficult to achieve the target by normal capability of applicable position.</t>
  </si>
  <si>
    <t>High level target for applicable position which has average capability. It is possible to achieve with constant effort.</t>
  </si>
  <si>
    <t>Appropriate target for applicable position which has average capability. It is possible to achieve with usual effort.</t>
  </si>
  <si>
    <t xml:space="preserve">Easy target for applicable position which has average capability. </t>
  </si>
  <si>
    <t>Targets</t>
  </si>
  <si>
    <t>Achievements</t>
  </si>
  <si>
    <t>Following criteria would be applied for each development work task.</t>
  </si>
  <si>
    <t>Type of Work Task</t>
  </si>
  <si>
    <t>Task #1</t>
  </si>
  <si>
    <t>Development Work Task</t>
  </si>
  <si>
    <t>Targets/Achievements (Applied for Development Work Task or Other)</t>
  </si>
  <si>
    <t>Targets/Achievements (Applied for Management Work Task Only)</t>
  </si>
  <si>
    <t>Skillup (optional): applied in term skill test is conducted.As common policy, member spare about 10% for skill up activities. Based on level of skills that required for each role level, achievement is measured.</t>
  </si>
  <si>
    <t>B. ATTITUDE</t>
  </si>
  <si>
    <t>Self Development</t>
  </si>
  <si>
    <t>Awareness of self development need to be improved. Self improving activities can be seen. However, the improvement result is not clear. Awareness in timely corrective actions need to be improved.</t>
  </si>
  <si>
    <t>Lacks acceptable awareness &amp; effort of self development. Weakness/mistakes remained without corrective actions.</t>
  </si>
  <si>
    <t>High awareness of self development.  Have prompt corrective actions for own mistakes. Consistently and continuously spend effort to improve self weakness or mastering necessary skills for works. Outstanding improvement in work results can be recognized by others.</t>
  </si>
  <si>
    <t>Above average awareness of self development. Have prompt corrective actions for own mistakes. Self learning / improving weakness or mastering necessary skills for works can be recognized clearly. Good improvement in work results can be recognized by others.</t>
  </si>
  <si>
    <t>Demonstrates acceptable self improving activities to improve weakness. Have prompt corrective actions for own mistakes. Instant improvement can be seen in work results in average level.</t>
  </si>
  <si>
    <t>Awareness and effort for self improvement: corrective actions for mistakes; self-learning to master necessary skills; investigate new things to serve future career positions.</t>
  </si>
  <si>
    <t>Very good team player. Sometimes conveys good ideas and opinions to the team. Has potential to have a positive impact on team dynamics. Adds several complementary skills to the team.</t>
  </si>
  <si>
    <t>Strong team player. Regularly conveys good ideas and opinions to the team. Has a positive impact on the team dynamics. Adds many complementary skills to the team.</t>
  </si>
  <si>
    <t>Works well with others, but at times lacks confidence to contribute ideas and opinions. Has limited impact on team dynamics. Adds a complementary skill to the team.</t>
  </si>
  <si>
    <t>Does not work well in a team environment. Prefers to work independently. Lacks confidence to contribute ideas and opinions and does not have a positive impact on team dynamics. Does not add a complementary skill to the team.</t>
  </si>
  <si>
    <t>Does not work well in a team environment and has a negative impact on the exchange of ideas and opinions. Does not make a positive contribution to the team.</t>
  </si>
  <si>
    <r>
      <t>Performance at this level</t>
    </r>
    <r>
      <rPr>
        <b/>
        <u/>
        <sz val="10"/>
        <rFont val="Arial Narrow"/>
        <family val="2"/>
      </rPr>
      <t xml:space="preserve"> far exceeds expectations consistently</t>
    </r>
    <r>
      <rPr>
        <sz val="10"/>
        <rFont val="Arial Narrow"/>
        <family val="2"/>
      </rPr>
      <t xml:space="preserve">; accomplishments have a </t>
    </r>
    <r>
      <rPr>
        <b/>
        <u/>
        <sz val="10"/>
        <rFont val="Arial Narrow"/>
        <family val="2"/>
      </rPr>
      <t xml:space="preserve">significant impact </t>
    </r>
    <r>
      <rPr>
        <sz val="10"/>
        <rFont val="Arial Narrow"/>
        <family val="2"/>
      </rPr>
      <t>on the mission/goals of the organization.</t>
    </r>
  </si>
  <si>
    <r>
      <t xml:space="preserve">Performance </t>
    </r>
    <r>
      <rPr>
        <b/>
        <u/>
        <sz val="10"/>
        <rFont val="Arial Narrow"/>
        <family val="2"/>
      </rPr>
      <t>consistently meets and frequently exceeds</t>
    </r>
    <r>
      <rPr>
        <sz val="10"/>
        <rFont val="Arial Narrow"/>
        <family val="2"/>
      </rPr>
      <t xml:space="preserve"> job requirements; well above average.</t>
    </r>
  </si>
  <si>
    <r>
      <t xml:space="preserve">Performance </t>
    </r>
    <r>
      <rPr>
        <b/>
        <u/>
        <sz val="10"/>
        <rFont val="Arial Narrow"/>
        <family val="2"/>
      </rPr>
      <t>consistently meets</t>
    </r>
    <r>
      <rPr>
        <sz val="10"/>
        <rFont val="Arial Narrow"/>
        <family val="2"/>
      </rPr>
      <t xml:space="preserve"> job requirements; expected level of performance for employees.</t>
    </r>
  </si>
  <si>
    <r>
      <t>Performance</t>
    </r>
    <r>
      <rPr>
        <b/>
        <u/>
        <sz val="10"/>
        <rFont val="Arial Narrow"/>
        <family val="2"/>
      </rPr>
      <t xml:space="preserve"> meets some but not all </t>
    </r>
    <r>
      <rPr>
        <sz val="10"/>
        <rFont val="Arial Narrow"/>
        <family val="2"/>
      </rPr>
      <t>job requirements; guidance and coaching is needed for improvement.</t>
    </r>
  </si>
  <si>
    <r>
      <t>Performance</t>
    </r>
    <r>
      <rPr>
        <b/>
        <u/>
        <sz val="10"/>
        <rFont val="Arial Narrow"/>
        <family val="2"/>
      </rPr>
      <t xml:space="preserve"> does not meet</t>
    </r>
    <r>
      <rPr>
        <sz val="10"/>
        <rFont val="Arial Narrow"/>
        <family val="2"/>
      </rPr>
      <t xml:space="preserve"> job requirements; immediate and significant improvement is needed. </t>
    </r>
  </si>
  <si>
    <t>“Difficulty” is evaluated by following point of view:</t>
  </si>
  <si>
    <t>Note that evaluation should be done both quality and volume point of view. Target should be set level 3.</t>
  </si>
  <si>
    <r>
      <t xml:space="preserve">Achievement is high or low compare to average achievement of </t>
    </r>
    <r>
      <rPr>
        <b/>
        <i/>
        <u/>
        <sz val="10"/>
        <rFont val="Arial Narrow"/>
        <family val="2"/>
      </rPr>
      <t>applicable position</t>
    </r>
    <r>
      <rPr>
        <b/>
        <i/>
        <sz val="10"/>
        <rFont val="Arial Narrow"/>
        <family val="2"/>
      </rPr>
      <t>(current member's position/level)</t>
    </r>
  </si>
  <si>
    <r>
      <rPr>
        <b/>
        <sz val="11"/>
        <rFont val="Arial"/>
        <family val="2"/>
      </rPr>
      <t>Work Organization/Time Management</t>
    </r>
    <r>
      <rPr>
        <sz val="11"/>
        <rFont val="Arial"/>
        <family val="2"/>
      </rPr>
      <t xml:space="preserve">
*</t>
    </r>
    <r>
      <rPr>
        <i/>
        <sz val="11"/>
        <rFont val="Arial"/>
        <family val="2"/>
      </rPr>
      <t xml:space="preserve"> The employee’s effective use of logical and organized work steps and time management.</t>
    </r>
  </si>
  <si>
    <r>
      <rPr>
        <b/>
        <sz val="11"/>
        <rFont val="Arial"/>
        <family val="2"/>
      </rPr>
      <t>Work Ethics</t>
    </r>
    <r>
      <rPr>
        <sz val="11"/>
        <rFont val="Arial"/>
        <family val="2"/>
      </rPr>
      <t xml:space="preserve">
* </t>
    </r>
    <r>
      <rPr>
        <i/>
        <sz val="11"/>
        <rFont val="Arial"/>
        <family val="2"/>
      </rPr>
      <t>The employee’s proper complying company/division regulations, policies; showing willingness to comply with all reasonable requirements from managers; 
* Having commitments to productivity, coworkers and work schedules; Accepting responsibility for their action.</t>
    </r>
  </si>
  <si>
    <r>
      <rPr>
        <b/>
        <sz val="11"/>
        <rFont val="Arial"/>
        <family val="2"/>
      </rPr>
      <t>Team work</t>
    </r>
    <r>
      <rPr>
        <sz val="11"/>
        <rFont val="Arial"/>
        <family val="2"/>
      </rPr>
      <t xml:space="preserve">
*</t>
    </r>
    <r>
      <rPr>
        <i/>
        <sz val="11"/>
        <rFont val="Arial"/>
        <family val="2"/>
      </rPr>
      <t xml:space="preserve"> Is an effective team player who adds complementary skills and contributes valuable ideas, opinions and feedback.</t>
    </r>
  </si>
  <si>
    <r>
      <rPr>
        <b/>
        <sz val="11"/>
        <rFont val="Arial"/>
        <family val="2"/>
      </rPr>
      <t>Communication Skills</t>
    </r>
    <r>
      <rPr>
        <sz val="11"/>
        <rFont val="Arial"/>
        <family val="2"/>
      </rPr>
      <t xml:space="preserve">
* </t>
    </r>
    <r>
      <rPr>
        <i/>
        <sz val="11"/>
        <rFont val="Arial"/>
        <family val="2"/>
      </rPr>
      <t>Promptly and consistently shares relevant information with others. Listens carefully to others and seeks clarification to ensure understanding.
* Speaks and writes concisely and expressively. Comprehends and appropriately applies information to situations.</t>
    </r>
  </si>
  <si>
    <r>
      <rPr>
        <b/>
        <sz val="11"/>
        <rFont val="Arial"/>
        <family val="2"/>
      </rPr>
      <t>Self development</t>
    </r>
    <r>
      <rPr>
        <sz val="11"/>
        <rFont val="Arial"/>
        <family val="2"/>
      </rPr>
      <t xml:space="preserve">
*</t>
    </r>
    <r>
      <rPr>
        <i/>
        <sz val="11"/>
        <rFont val="Arial"/>
        <family val="2"/>
      </rPr>
      <t xml:space="preserve"> Awareness and effort for self improvement: corrective actions for mistakes; self-learning to master necessary skills; investigate new things to serve future career positions.</t>
    </r>
  </si>
  <si>
    <t>* Remarkable effort for very difficult tasks compared to current level, although achievement is not clear.</t>
  </si>
  <si>
    <t>* Individual special prize, award from the company or customer.</t>
  </si>
  <si>
    <t>* Complete acting activities without any dedicated effort budget (training, ctg, etc) with good results</t>
  </si>
  <si>
    <t>Total (No more than 1.5)</t>
  </si>
  <si>
    <t>Average Score</t>
  </si>
  <si>
    <t>A1. For Team Performance</t>
  </si>
  <si>
    <t>A2. For Development Work Tasks</t>
  </si>
  <si>
    <t>A3. For Managinal &amp; Supervisory Work Tasks</t>
  </si>
  <si>
    <t>D. DIFFCULTY</t>
  </si>
  <si>
    <t>E. OVERALL EVALUATION</t>
  </si>
  <si>
    <t>C.ADDITIONAL ARCHIVEMENT</t>
  </si>
  <si>
    <t>CSAT</t>
  </si>
  <si>
    <t>PCI</t>
  </si>
  <si>
    <t>Other factors can be consider for adjust team performance archivement:</t>
  </si>
  <si>
    <r>
      <rPr>
        <b/>
        <sz val="10"/>
        <rFont val="Arial Narrow"/>
        <family val="2"/>
      </rPr>
      <t>Far exceeds</t>
    </r>
    <r>
      <rPr>
        <sz val="10"/>
        <rFont val="Arial Narrow"/>
        <family val="2"/>
      </rPr>
      <t xml:space="preserve"> expectations consistently; have </t>
    </r>
    <r>
      <rPr>
        <b/>
        <sz val="10"/>
        <rFont val="Arial Narrow"/>
        <family val="2"/>
      </rPr>
      <t xml:space="preserve">signification impact </t>
    </r>
    <r>
      <rPr>
        <sz val="10"/>
        <rFont val="Arial Narrow"/>
        <family val="2"/>
      </rPr>
      <t>on the mission/goals</t>
    </r>
  </si>
  <si>
    <r>
      <t>Consistently Meets and</t>
    </r>
    <r>
      <rPr>
        <b/>
        <sz val="10"/>
        <rFont val="Arial Narrow"/>
        <family val="2"/>
      </rPr>
      <t xml:space="preserve"> frequently exceeds </t>
    </r>
    <r>
      <rPr>
        <sz val="10"/>
        <rFont val="Arial Narrow"/>
        <family val="2"/>
      </rPr>
      <t>Expectation</t>
    </r>
  </si>
  <si>
    <r>
      <rPr>
        <b/>
        <sz val="10"/>
        <rFont val="Arial Narrow"/>
        <family val="2"/>
      </rPr>
      <t>Consistently</t>
    </r>
    <r>
      <rPr>
        <sz val="10"/>
        <rFont val="Arial Narrow"/>
        <family val="2"/>
      </rPr>
      <t xml:space="preserve"> Meet Expectation</t>
    </r>
  </si>
  <si>
    <t>For each additional item (acting SQAG, CTG, Training, CMMI, etc), result of acting work will be confirmed with from leader of each group (SQAG, CTG, Training, etc)</t>
  </si>
  <si>
    <r>
      <t xml:space="preserve">Average CSAT of all items is </t>
    </r>
    <r>
      <rPr>
        <b/>
        <sz val="10"/>
        <rFont val="Arial Narrow"/>
        <family val="2"/>
      </rPr>
      <t>under 30%</t>
    </r>
    <r>
      <rPr>
        <sz val="10"/>
        <rFont val="Arial Narrow"/>
        <family val="2"/>
      </rPr>
      <t xml:space="preserve"> target from SDP-01</t>
    </r>
  </si>
  <si>
    <r>
      <t xml:space="preserve">Average CSAT of all items is </t>
    </r>
    <r>
      <rPr>
        <b/>
        <sz val="10"/>
        <rFont val="Arial Narrow"/>
        <family val="2"/>
      </rPr>
      <t>under 11% to 30%</t>
    </r>
    <r>
      <rPr>
        <sz val="10"/>
        <rFont val="Arial Narrow"/>
        <family val="2"/>
      </rPr>
      <t xml:space="preserve"> target from SDP-01</t>
    </r>
  </si>
  <si>
    <r>
      <t>Average CSAT of all items is</t>
    </r>
    <r>
      <rPr>
        <b/>
        <sz val="10"/>
        <rFont val="Arial Narrow"/>
        <family val="2"/>
      </rPr>
      <t xml:space="preserve"> over 11% to 30%</t>
    </r>
    <r>
      <rPr>
        <sz val="10"/>
        <rFont val="Arial Narrow"/>
        <family val="2"/>
      </rPr>
      <t xml:space="preserve"> target from SDP-01</t>
    </r>
  </si>
  <si>
    <r>
      <t xml:space="preserve">Average CSAT of all items is </t>
    </r>
    <r>
      <rPr>
        <b/>
        <sz val="10"/>
        <rFont val="Arial Narrow"/>
        <family val="2"/>
      </rPr>
      <t xml:space="preserve">over 30% </t>
    </r>
    <r>
      <rPr>
        <sz val="10"/>
        <rFont val="Arial Narrow"/>
        <family val="2"/>
      </rPr>
      <t>target from SDP-01</t>
    </r>
  </si>
  <si>
    <r>
      <t xml:space="preserve">Average PCI of all months is from </t>
    </r>
    <r>
      <rPr>
        <b/>
        <sz val="10"/>
        <rFont val="Arial Narrow"/>
        <family val="2"/>
      </rPr>
      <t>90% to 95%</t>
    </r>
  </si>
  <si>
    <r>
      <t xml:space="preserve">Average PCI of all months is from </t>
    </r>
    <r>
      <rPr>
        <b/>
        <sz val="10"/>
        <rFont val="Arial Narrow"/>
        <family val="2"/>
      </rPr>
      <t>80% to 90%</t>
    </r>
  </si>
  <si>
    <r>
      <t xml:space="preserve">Average PCI of all months is </t>
    </r>
    <r>
      <rPr>
        <b/>
        <sz val="10"/>
        <rFont val="Arial Narrow"/>
        <family val="2"/>
      </rPr>
      <t>under 80%</t>
    </r>
  </si>
  <si>
    <r>
      <t xml:space="preserve">Average PCI of all months is from </t>
    </r>
    <r>
      <rPr>
        <b/>
        <sz val="10"/>
        <rFont val="Arial Narrow"/>
        <family val="2"/>
      </rPr>
      <t>96% to 97%</t>
    </r>
  </si>
  <si>
    <r>
      <t xml:space="preserve">Average PCI of all months is from </t>
    </r>
    <r>
      <rPr>
        <b/>
        <sz val="10"/>
        <rFont val="Arial Narrow"/>
        <family val="2"/>
      </rPr>
      <t>98% to 100%</t>
    </r>
  </si>
  <si>
    <r>
      <t xml:space="preserve">Average CSAT of all items is </t>
    </r>
    <r>
      <rPr>
        <b/>
        <sz val="10"/>
        <rFont val="Arial Narrow"/>
        <family val="2"/>
      </rPr>
      <t>in range of target+</t>
    </r>
    <r>
      <rPr>
        <sz val="10"/>
        <rFont val="Arial Narrow"/>
        <family val="2"/>
      </rPr>
      <t>/-</t>
    </r>
    <r>
      <rPr>
        <b/>
        <sz val="10"/>
        <rFont val="Arial Narrow"/>
        <family val="2"/>
      </rPr>
      <t>10%</t>
    </r>
    <r>
      <rPr>
        <sz val="10"/>
        <rFont val="Arial Narrow"/>
        <family val="2"/>
      </rPr>
      <t xml:space="preserve"> target from SDP-01</t>
    </r>
  </si>
  <si>
    <t>Management Work Task</t>
  </si>
  <si>
    <t>Quality (if have acceptance test and V&amp;V result)</t>
  </si>
  <si>
    <t>NA</t>
  </si>
  <si>
    <t xml:space="preserve">Acceptance test is higher(worse) 10%-30% than company target 
V&amp;V result is higher(worse) than target but not over 30% </t>
  </si>
  <si>
    <t>Acceptance test is higher(worse) &gt;30% than company target 
V&amp;V result is higher(worse) &gt; 30% than target</t>
  </si>
  <si>
    <t>Please note that total score of additonal archivement should not over 1.5</t>
  </si>
  <si>
    <r>
      <t>3. ADDITIONAL ACHIEVEMENT</t>
    </r>
    <r>
      <rPr>
        <i/>
        <sz val="14"/>
        <rFont val="Arial"/>
        <family val="2"/>
      </rPr>
      <t xml:space="preserve"> (this section is for appraiser only)</t>
    </r>
  </si>
  <si>
    <t>This section no need evalutation from appraisee</t>
  </si>
  <si>
    <t>Acceptance test meet organization target or not over +10% (if have)
Meet V&amp;V quality target (if have):
+ Validation Test Defect Density &lt; 2 * Organization target of acceptant test
+ Document review defect density: &lt;=0.2 defect/page
+ V&amp;V defect ratio &lt; 30%</t>
  </si>
  <si>
    <t>If appraiser see that above criteria is not enough to evalute team performance, you can consider to other factors, for example:</t>
  </si>
  <si>
    <r>
      <t xml:space="preserve">Productivity </t>
    </r>
    <r>
      <rPr>
        <i/>
        <sz val="12"/>
        <rFont val="Arial Narrow"/>
        <family val="2"/>
      </rPr>
      <t>(consider from 14B)</t>
    </r>
  </si>
  <si>
    <t>Following criteria can be considerred for evaluation team performanc, it can change flexible depend on concrete situationsof each project or each group</t>
  </si>
  <si>
    <t>Acceptance test is lower (better) than organization target (if have)
Archive good feedback from V&amp;V and archive quality target better than V&amp;V expect much</t>
  </si>
  <si>
    <t>Archive PROD target from SDP-01</t>
  </si>
  <si>
    <t>Archive more improvemenr (from 10-30%) compare with target from SDP-01</t>
  </si>
  <si>
    <t>Archive much improvemenr (over 30%) compare with target from SDP-01</t>
  </si>
  <si>
    <t>Target of PROD is less than (10%-30%) compare with target in SDP-01</t>
  </si>
  <si>
    <t>Target of PROD is less than over 30% compare with target in SDP-01</t>
  </si>
  <si>
    <r>
      <rPr>
        <b/>
        <sz val="12"/>
        <rFont val="Arial Narrow"/>
        <family val="2"/>
      </rPr>
      <t>1. Productivity</t>
    </r>
    <r>
      <rPr>
        <sz val="12"/>
        <rFont val="Arial Narrow"/>
        <family val="2"/>
      </rPr>
      <t xml:space="preserve"> is improved much compare with previous term (for example improvement is &gt;10% previous term)</t>
    </r>
  </si>
  <si>
    <t>Other</t>
  </si>
  <si>
    <t xml:space="preserve">Grade/Tittle: </t>
  </si>
  <si>
    <r>
      <t>Team Performance (</t>
    </r>
    <r>
      <rPr>
        <i/>
        <sz val="11"/>
        <color rgb="FFFF0000"/>
        <rFont val="Arial"/>
        <family val="2"/>
      </rPr>
      <t>mandotory for project member, not apply for project leader</t>
    </r>
    <r>
      <rPr>
        <i/>
        <sz val="11"/>
        <rFont val="Arial"/>
        <family val="2"/>
      </rPr>
      <t>): Overall team performance should impact to each member performance in certain level. Team performance can be measured by how much project team achieve the targets/objectives which have been planned at the begin of the project (CSAT, CPI, SPI, average productivity or aceptance test density). The team targets, in turn, are harmonized with group, company targets.</t>
    </r>
  </si>
  <si>
    <t>Employee ID:</t>
  </si>
  <si>
    <t>&lt;Group Targets in case Appraisee is Team Leader&gt;</t>
  </si>
  <si>
    <t>&lt;Engineering Department Targets/Company Targets in case Appraisee is Group Leader&gt;</t>
  </si>
  <si>
    <t>&lt;Project Team Targets (from SDP-01 - Project Objectives) in case Appraisee is Team Member&gt;</t>
  </si>
  <si>
    <t>Grade</t>
  </si>
  <si>
    <t>Title</t>
  </si>
  <si>
    <t>Responsibility</t>
  </si>
  <si>
    <t>Remark</t>
  </si>
  <si>
    <t>Software Engineer 1</t>
  </si>
  <si>
    <t>Software Engineer 2</t>
  </si>
  <si>
    <t>Software Engineer 3</t>
  </si>
  <si>
    <t>Software Engineer 4</t>
  </si>
  <si>
    <t>Software Engineer 5</t>
  </si>
  <si>
    <t>If this level take charge leader roles, difficulty score should be higher than average  (&gt;2)</t>
  </si>
  <si>
    <t>Software Engineer 6</t>
  </si>
  <si>
    <t>Senior Software Engineer 1</t>
  </si>
  <si>
    <t>Senior Software Engineer 2</t>
  </si>
  <si>
    <t>Senior Software Engineer 3</t>
  </si>
  <si>
    <t>Senior Software Engineer 4</t>
  </si>
  <si>
    <t>Team Leader 1</t>
  </si>
  <si>
    <t>Team Leader 2</t>
  </si>
  <si>
    <t>Senior Software Engineer 5</t>
  </si>
  <si>
    <t>Team Leader 3</t>
  </si>
  <si>
    <t>Team Leader 4</t>
  </si>
  <si>
    <t>PJ Leader 1</t>
  </si>
  <si>
    <t>PJ Leader 2</t>
  </si>
  <si>
    <t>PJ Leader 3</t>
  </si>
  <si>
    <t>Assistant Manager</t>
  </si>
  <si>
    <t>Project Manager 1</t>
  </si>
  <si>
    <t>Project Manager 2</t>
  </si>
  <si>
    <t>Project Manager 3</t>
  </si>
  <si>
    <r>
      <t xml:space="preserve">* Carry out software development </t>
    </r>
    <r>
      <rPr>
        <b/>
        <sz val="10"/>
        <color theme="1"/>
        <rFont val="Arial Narrow"/>
        <family val="2"/>
      </rPr>
      <t>under</t>
    </r>
    <r>
      <rPr>
        <sz val="10"/>
        <rFont val="Arial Narrow"/>
        <family val="2"/>
      </rPr>
      <t xml:space="preserve"> </t>
    </r>
    <r>
      <rPr>
        <b/>
        <sz val="10"/>
        <color theme="1"/>
        <rFont val="Arial Narrow"/>
        <family val="2"/>
      </rPr>
      <t>instruction</t>
    </r>
    <r>
      <rPr>
        <sz val="10"/>
        <rFont val="Arial Narrow"/>
        <family val="2"/>
      </rPr>
      <t xml:space="preserve"> </t>
    </r>
    <r>
      <rPr>
        <b/>
        <sz val="10"/>
        <color theme="1"/>
        <rFont val="Arial Narrow"/>
        <family val="2"/>
      </rPr>
      <t>&amp;</t>
    </r>
    <r>
      <rPr>
        <sz val="10"/>
        <rFont val="Arial Narrow"/>
        <family val="2"/>
      </rPr>
      <t xml:space="preserve"> </t>
    </r>
    <r>
      <rPr>
        <b/>
        <sz val="10"/>
        <color theme="1"/>
        <rFont val="Arial Narrow"/>
        <family val="2"/>
      </rPr>
      <t>reviewing</t>
    </r>
    <r>
      <rPr>
        <sz val="10"/>
        <rFont val="Arial Narrow"/>
        <family val="2"/>
      </rPr>
      <t xml:space="preserve"> from experience members </t>
    </r>
  </si>
  <si>
    <r>
      <t xml:space="preserve">* Can </t>
    </r>
    <r>
      <rPr>
        <b/>
        <sz val="10"/>
        <color theme="1"/>
        <rFont val="Arial Narrow"/>
        <family val="2"/>
      </rPr>
      <t>work</t>
    </r>
    <r>
      <rPr>
        <sz val="10"/>
        <rFont val="Arial Narrow"/>
        <family val="2"/>
      </rPr>
      <t xml:space="preserve"> </t>
    </r>
    <r>
      <rPr>
        <b/>
        <sz val="10"/>
        <color theme="1"/>
        <rFont val="Arial Narrow"/>
        <family val="2"/>
      </rPr>
      <t>independent</t>
    </r>
    <r>
      <rPr>
        <sz val="10"/>
        <rFont val="Arial Narrow"/>
        <family val="2"/>
      </rPr>
      <t xml:space="preserve"> or with </t>
    </r>
    <r>
      <rPr>
        <b/>
        <sz val="10"/>
        <color theme="1"/>
        <rFont val="Arial Narrow"/>
        <family val="2"/>
      </rPr>
      <t>small instruction</t>
    </r>
    <r>
      <rPr>
        <sz val="10"/>
        <rFont val="Arial Narrow"/>
        <family val="2"/>
      </rPr>
      <t xml:space="preserve"> from experience members
* Can </t>
    </r>
    <r>
      <rPr>
        <b/>
        <sz val="10"/>
        <color theme="1"/>
        <rFont val="Arial Narrow"/>
        <family val="2"/>
      </rPr>
      <t>conduct process &amp; management task</t>
    </r>
    <r>
      <rPr>
        <sz val="10"/>
        <rFont val="Arial Narrow"/>
        <family val="2"/>
      </rPr>
      <t xml:space="preserve"> with guiding from leader or senior members</t>
    </r>
  </si>
  <si>
    <r>
      <t xml:space="preserve">* Can work </t>
    </r>
    <r>
      <rPr>
        <b/>
        <sz val="10"/>
        <color theme="1"/>
        <rFont val="Arial Narrow"/>
        <family val="2"/>
      </rPr>
      <t>independent</t>
    </r>
    <r>
      <rPr>
        <sz val="10"/>
        <rFont val="Arial Narrow"/>
        <family val="2"/>
      </rPr>
      <t xml:space="preserve"> &amp; </t>
    </r>
    <r>
      <rPr>
        <b/>
        <sz val="10"/>
        <color theme="1"/>
        <rFont val="Arial Narrow"/>
        <family val="2"/>
      </rPr>
      <t>guide</t>
    </r>
    <r>
      <rPr>
        <sz val="10"/>
        <rFont val="Arial Narrow"/>
        <family val="2"/>
      </rPr>
      <t xml:space="preserve"> other member on technical work
* Can support leader in </t>
    </r>
    <r>
      <rPr>
        <b/>
        <sz val="10"/>
        <color theme="1"/>
        <rFont val="Arial Narrow"/>
        <family val="2"/>
      </rPr>
      <t>process</t>
    </r>
    <r>
      <rPr>
        <sz val="10"/>
        <rFont val="Arial Narrow"/>
        <family val="2"/>
      </rPr>
      <t xml:space="preserve"> &amp; </t>
    </r>
    <r>
      <rPr>
        <b/>
        <sz val="10"/>
        <color theme="1"/>
        <rFont val="Arial Narrow"/>
        <family val="2"/>
      </rPr>
      <t>management</t>
    </r>
    <r>
      <rPr>
        <sz val="10"/>
        <rFont val="Arial Narrow"/>
        <family val="2"/>
      </rPr>
      <t xml:space="preserve"> task
* Understand project management and process; able to follow defined process</t>
    </r>
  </si>
  <si>
    <r>
      <t xml:space="preserve">* Understand project management and process; able to follow defined process
* Can be </t>
    </r>
    <r>
      <rPr>
        <b/>
        <sz val="10"/>
        <color theme="1"/>
        <rFont val="Arial Narrow"/>
        <family val="2"/>
      </rPr>
      <t>leader</t>
    </r>
    <r>
      <rPr>
        <sz val="10"/>
        <rFont val="Arial Narrow"/>
        <family val="2"/>
      </rPr>
      <t xml:space="preserve"> of a small project (both management &amp; technical) 
* Can be </t>
    </r>
    <r>
      <rPr>
        <b/>
        <sz val="10"/>
        <color theme="1"/>
        <rFont val="Arial Narrow"/>
        <family val="2"/>
      </rPr>
      <t>technical leader</t>
    </r>
    <r>
      <rPr>
        <sz val="10"/>
        <rFont val="Arial Narrow"/>
        <family val="2"/>
      </rPr>
      <t xml:space="preserve"> of a small project
* Can be </t>
    </r>
    <r>
      <rPr>
        <b/>
        <sz val="10"/>
        <color theme="1"/>
        <rFont val="Arial Narrow"/>
        <family val="2"/>
      </rPr>
      <t xml:space="preserve">management leader </t>
    </r>
    <r>
      <rPr>
        <sz val="10"/>
        <rFont val="Arial Narrow"/>
        <family val="2"/>
      </rPr>
      <t>of some small projects (not over 2 projects)</t>
    </r>
  </si>
  <si>
    <r>
      <t xml:space="preserve">* Can be </t>
    </r>
    <r>
      <rPr>
        <b/>
        <sz val="10"/>
        <color theme="1"/>
        <rFont val="Arial Narrow"/>
        <family val="2"/>
      </rPr>
      <t>leader</t>
    </r>
    <r>
      <rPr>
        <sz val="10"/>
        <rFont val="Arial Narrow"/>
        <family val="2"/>
      </rPr>
      <t xml:space="preserve"> of a medium project or some small projects(not over 2 projects)
* Can be </t>
    </r>
    <r>
      <rPr>
        <b/>
        <sz val="10"/>
        <color theme="1"/>
        <rFont val="Arial Narrow"/>
        <family val="2"/>
      </rPr>
      <t>technical leader</t>
    </r>
    <r>
      <rPr>
        <sz val="10"/>
        <rFont val="Arial Narrow"/>
        <family val="2"/>
      </rPr>
      <t xml:space="preserve"> of a medium project or some small projects (not over 2 projects)
* Can be </t>
    </r>
    <r>
      <rPr>
        <b/>
        <sz val="10"/>
        <color theme="1"/>
        <rFont val="Arial Narrow"/>
        <family val="2"/>
      </rPr>
      <t>management leader</t>
    </r>
    <r>
      <rPr>
        <sz val="10"/>
        <rFont val="Arial Narrow"/>
        <family val="2"/>
      </rPr>
      <t xml:space="preserve"> of some project but head count not over </t>
    </r>
    <r>
      <rPr>
        <b/>
        <sz val="10"/>
        <color theme="1"/>
        <rFont val="Arial Narrow"/>
        <family val="2"/>
      </rPr>
      <t>10 people</t>
    </r>
    <r>
      <rPr>
        <sz val="10"/>
        <rFont val="Arial Narrow"/>
        <family val="2"/>
      </rPr>
      <t xml:space="preserve">
* </t>
    </r>
    <r>
      <rPr>
        <b/>
        <sz val="10"/>
        <color theme="1"/>
        <rFont val="Arial Narrow"/>
        <family val="2"/>
      </rPr>
      <t>Grow up</t>
    </r>
    <r>
      <rPr>
        <sz val="10"/>
        <rFont val="Arial Narrow"/>
        <family val="2"/>
      </rPr>
      <t xml:space="preserve"> project members on technical, process and leadship</t>
    </r>
  </si>
  <si>
    <r>
      <rPr>
        <b/>
        <sz val="10"/>
        <color theme="1"/>
        <rFont val="Arial Narrow"/>
        <family val="2"/>
      </rPr>
      <t xml:space="preserve">* </t>
    </r>
    <r>
      <rPr>
        <sz val="10"/>
        <rFont val="Arial Narrow"/>
        <family val="2"/>
      </rPr>
      <t xml:space="preserve">Summary: Lead TSDV projects – conduct </t>
    </r>
    <r>
      <rPr>
        <b/>
        <sz val="10"/>
        <color theme="1"/>
        <rFont val="Arial Narrow"/>
        <family val="2"/>
      </rPr>
      <t>technical leading and project managemen</t>
    </r>
    <r>
      <rPr>
        <sz val="10"/>
        <rFont val="Arial Narrow"/>
        <family val="2"/>
      </rPr>
      <t xml:space="preserve">t; take part in operation of Engineering department; </t>
    </r>
    <r>
      <rPr>
        <b/>
        <sz val="10"/>
        <color theme="1"/>
        <rFont val="Arial Narrow"/>
        <family val="2"/>
      </rPr>
      <t xml:space="preserve">Build up </t>
    </r>
    <r>
      <rPr>
        <sz val="10"/>
        <rFont val="Arial Narrow"/>
        <family val="2"/>
      </rPr>
      <t>next leader</t>
    </r>
    <r>
      <rPr>
        <b/>
        <sz val="10"/>
        <color theme="1"/>
        <rFont val="Arial Narrow"/>
        <family val="2"/>
      </rPr>
      <t xml:space="preserve"> </t>
    </r>
    <r>
      <rPr>
        <sz val="10"/>
        <rFont val="Arial Narrow"/>
        <family val="2"/>
      </rPr>
      <t xml:space="preserve">for projects
</t>
    </r>
    <r>
      <rPr>
        <b/>
        <sz val="10"/>
        <color theme="1"/>
        <rFont val="Arial Narrow"/>
        <family val="2"/>
      </rPr>
      <t xml:space="preserve">* </t>
    </r>
    <r>
      <rPr>
        <sz val="10"/>
        <rFont val="Arial Narrow"/>
        <family val="2"/>
      </rPr>
      <t>Managenment:</t>
    </r>
    <r>
      <rPr>
        <b/>
        <sz val="10"/>
        <color theme="1"/>
        <rFont val="Arial Narrow"/>
        <family val="2"/>
      </rPr>
      <t xml:space="preserve">  </t>
    </r>
    <r>
      <rPr>
        <sz val="10"/>
        <rFont val="Arial Narrow"/>
        <family val="2"/>
      </rPr>
      <t>Conduct project management and process management. Manage up to</t>
    </r>
    <r>
      <rPr>
        <b/>
        <sz val="10"/>
        <color theme="1"/>
        <rFont val="Arial Narrow"/>
        <family val="2"/>
      </rPr>
      <t xml:space="preserve"> 15 members</t>
    </r>
    <r>
      <rPr>
        <sz val="10"/>
        <rFont val="Arial Narrow"/>
        <family val="2"/>
      </rPr>
      <t xml:space="preserve">
</t>
    </r>
    <r>
      <rPr>
        <b/>
        <sz val="10"/>
        <color theme="1"/>
        <rFont val="Arial Narrow"/>
        <family val="2"/>
      </rPr>
      <t xml:space="preserve">* </t>
    </r>
    <r>
      <rPr>
        <sz val="10"/>
        <rFont val="Arial Narrow"/>
        <family val="2"/>
      </rPr>
      <t>Technical:</t>
    </r>
    <r>
      <rPr>
        <b/>
        <sz val="10"/>
        <color theme="1"/>
        <rFont val="Arial Narrow"/>
        <family val="2"/>
      </rPr>
      <t xml:space="preserve"> </t>
    </r>
    <r>
      <rPr>
        <sz val="10"/>
        <rFont val="Arial Narrow"/>
        <family val="2"/>
      </rPr>
      <t>Conduct technical leader of group size up to</t>
    </r>
    <r>
      <rPr>
        <b/>
        <sz val="10"/>
        <color theme="1"/>
        <rFont val="Arial Narrow"/>
        <family val="2"/>
      </rPr>
      <t xml:space="preserve"> 15 people</t>
    </r>
    <r>
      <rPr>
        <sz val="10"/>
        <rFont val="Arial Narrow"/>
        <family val="2"/>
      </rPr>
      <t xml:space="preserve">
</t>
    </r>
    <r>
      <rPr>
        <b/>
        <sz val="10"/>
        <color theme="1"/>
        <rFont val="Arial Narrow"/>
        <family val="2"/>
      </rPr>
      <t xml:space="preserve">* </t>
    </r>
    <r>
      <rPr>
        <sz val="10"/>
        <rFont val="Arial Narrow"/>
        <family val="2"/>
      </rPr>
      <t>Business:</t>
    </r>
    <r>
      <rPr>
        <b/>
        <sz val="10"/>
        <color theme="1"/>
        <rFont val="Arial Narrow"/>
        <family val="2"/>
      </rPr>
      <t xml:space="preserve"> 
</t>
    </r>
    <r>
      <rPr>
        <sz val="10"/>
        <rFont val="Arial Narrow"/>
        <family val="2"/>
      </rPr>
      <t>+ Provide support for business plan and project budget control.
+ Make presentations to customer or client audiences or professional peers.</t>
    </r>
  </si>
  <si>
    <r>
      <rPr>
        <b/>
        <sz val="10"/>
        <color theme="1"/>
        <rFont val="Arial Narrow"/>
        <family val="2"/>
      </rPr>
      <t xml:space="preserve">* </t>
    </r>
    <r>
      <rPr>
        <sz val="10"/>
        <rFont val="Arial Narrow"/>
        <family val="2"/>
      </rPr>
      <t xml:space="preserve">Summary: Lead TSDV projects – conduct technical leading and project management; research and construct technology and development standard for company
</t>
    </r>
    <r>
      <rPr>
        <b/>
        <sz val="10"/>
        <color theme="1"/>
        <rFont val="Arial Narrow"/>
        <family val="2"/>
      </rPr>
      <t xml:space="preserve">* </t>
    </r>
    <r>
      <rPr>
        <sz val="10"/>
        <rFont val="Arial Narrow"/>
        <family val="2"/>
      </rPr>
      <t>Business:
+ Involve management of Engineering Dept
+ Provide support for business plan and project budget control
+ Making presentations to customer or client audiences or professional peers.</t>
    </r>
  </si>
  <si>
    <r>
      <rPr>
        <b/>
        <sz val="10"/>
        <color theme="1"/>
        <rFont val="Arial Narrow"/>
        <family val="2"/>
      </rPr>
      <t xml:space="preserve">* </t>
    </r>
    <r>
      <rPr>
        <sz val="10"/>
        <rFont val="Arial Narrow"/>
        <family val="2"/>
      </rPr>
      <t>Summary:</t>
    </r>
    <r>
      <rPr>
        <b/>
        <sz val="10"/>
        <color theme="1"/>
        <rFont val="Arial Narrow"/>
        <family val="2"/>
      </rPr>
      <t xml:space="preserve"> </t>
    </r>
    <r>
      <rPr>
        <sz val="10"/>
        <rFont val="Arial Narrow"/>
        <family val="2"/>
      </rPr>
      <t xml:space="preserve">Plan and control project to ensure smooth operation of Engineering Department.
</t>
    </r>
    <r>
      <rPr>
        <b/>
        <sz val="10"/>
        <color theme="1"/>
        <rFont val="Arial Narrow"/>
        <family val="2"/>
      </rPr>
      <t xml:space="preserve">* </t>
    </r>
    <r>
      <rPr>
        <sz val="10"/>
        <rFont val="Arial Narrow"/>
        <family val="2"/>
      </rPr>
      <t>Business:
+ Make business plan to generate revenue and profit
+ Control cost under the budget
+ Create value added plan for company growth
+ Maintain client databases
+ Make presentations to customer or client audiences or professional peers.</t>
    </r>
  </si>
  <si>
    <t>Summary</t>
  </si>
  <si>
    <t>1. JOB EVALUATION</t>
  </si>
  <si>
    <t>A term</t>
  </si>
  <si>
    <t>B term</t>
  </si>
  <si>
    <t>5. CONFIRMATION</t>
  </si>
  <si>
    <t>3. ADDITIONAL ACHIEVEMENT</t>
  </si>
  <si>
    <t>JOB PERFORMANCE APPRAISAL FORM FOR FY20XX</t>
  </si>
  <si>
    <t>Self</t>
  </si>
  <si>
    <t>Grade:</t>
  </si>
  <si>
    <t xml:space="preserve">Title </t>
  </si>
  <si>
    <t>（１）Management Skill Evaluation</t>
  </si>
  <si>
    <t>Allotment</t>
  </si>
  <si>
    <t>（２）Capability&amp;Competency Evaluation</t>
  </si>
  <si>
    <t>（３）Technical Skill Evaluation</t>
  </si>
  <si>
    <t>（４）Attitude &amp; Behavioral Evaluation</t>
  </si>
  <si>
    <t>Title(select from list):</t>
  </si>
  <si>
    <t>Nguyen Van X</t>
  </si>
  <si>
    <t>Review Period</t>
  </si>
  <si>
    <t>TO</t>
  </si>
  <si>
    <t>FROM</t>
  </si>
  <si>
    <t>Yes</t>
  </si>
  <si>
    <t>Whole year</t>
  </si>
  <si>
    <t xml:space="preserve">FY20xx A MBO </t>
  </si>
  <si>
    <t>Do you have A term MBO?</t>
  </si>
  <si>
    <t>&lt;Task #B1: Please describe in specific about the work task with overall targets: (1) What the task is about? (2) What are your overall targets?&gt;</t>
  </si>
  <si>
    <t>&lt;Task #B2: Please describe in specific about the work task with overall targets: (1) What the task is about? (2) What are your overall targets?&gt;</t>
  </si>
  <si>
    <t>&lt;Task #B3: Please describe in specific about the work task with overall targets: (1) What the task is about? (2) What are your overall targets?&gt;</t>
  </si>
  <si>
    <t>&lt;Task #B4: Please describe in specific about the work task with overall targets: (1) What the task is about? (2) What are your overall targets?&gt;</t>
  </si>
  <si>
    <t>&lt;Task #B5: Please describe in specific about the work task with overall targets: (1) What the task is about? (2) What are your overall targets?&gt;</t>
  </si>
  <si>
    <t>Quality</t>
  </si>
  <si>
    <t xml:space="preserve">The quality degree of taks/projects' result under management.Consider both internal and external source of projects to evaluate quality of tasks: V&amp;V feedback, CSAT for documents/source code </t>
  </si>
  <si>
    <t>quality, result of DR/QG meeting, plan and actual result of project quality, comments from stakeholder, bugs happen after release,etc</t>
  </si>
  <si>
    <t>Execlence quality of projects/tasks under management. Excelence quality of project is reconginzed by both internal and external parties. There is no issue after release (both critial and minor)</t>
  </si>
  <si>
    <t xml:space="preserve">High quality of projects/tasks under management. High quality of project is reconginzed by both internal and external parties. </t>
  </si>
  <si>
    <t>Acecptable quality of project/tasks under management. There is no critical bugs or complain about quality after release.</t>
  </si>
  <si>
    <t xml:space="preserve">Below the basic quality of project/tasks under management. Critical bugs happen or complain from customers after release. </t>
  </si>
  <si>
    <t>Poor quality of project/tasks under management. Project quality is considered as Fail. There are many issues happen during project implementation and after release.</t>
  </si>
  <si>
    <t>Planning &amp; Delivery</t>
  </si>
  <si>
    <t>The delivery management degree of taks/projects' result under management.</t>
  </si>
  <si>
    <t>Delivery can be understood as deadline/milestone for all stakeholders of projects:</t>
  </si>
  <si>
    <t>Delivery Milestone fo Customer: is most important, cannot be change without notices in advance (time to notice in advance depends on each project)</t>
  </si>
  <si>
    <t>DR/QG milestone specified in project plannning</t>
  </si>
  <si>
    <t>Milestone to sending documents/products to other parties in TSDV such as V&amp;V or external parties</t>
  </si>
  <si>
    <t xml:space="preserve">Execlence delivery management activities results. Smoothly manage all the deadlines/milestones of project. There are no delay happens during project with good result. </t>
  </si>
  <si>
    <t>Good delivery management activities and results. Smoothly manage all the deadlines/milestones of project. There are some small delay with appropriate rationale (objective reaason) and notices.</t>
  </si>
  <si>
    <t>Acecptable delivery management activities activities and results. Basically follow all deadline/milestone of project. There may be delay in middle/interim milestone but no impact to final schedule. Delayed is noticed in advanced and accepted by all stakeholder.</t>
  </si>
  <si>
    <t>Poor delivery management activities and results. Need to be improved. Keep the final deadline but usually delay in interim milestone, reason is not explained clearly and not accepted by some stakeholder.</t>
  </si>
  <si>
    <t>Very poor delivery management activities and results. Usually delay without notice and rationale. Fail in delivery and sending in critical/important milestone. Skip milestone DR/QG/V&amp;V without notification and explaination.</t>
  </si>
  <si>
    <t>Cost</t>
  </si>
  <si>
    <t>The cost management degree of taks/projects' result under management.</t>
  </si>
  <si>
    <t>Consider following points to evaulate cost result of tasks/projects.</t>
  </si>
  <si>
    <t>Estimattion/actual effort variance</t>
  </si>
  <si>
    <t>Team productivity (improvement target)</t>
  </si>
  <si>
    <t>Execlence cost management activities results</t>
  </si>
  <si>
    <t>Good cost management activities and results</t>
  </si>
  <si>
    <t>Acecptable cost management activities activities and results</t>
  </si>
  <si>
    <t>Poor cost management activities and results</t>
  </si>
  <si>
    <t>Very Poor cost management activities and results</t>
  </si>
  <si>
    <t>Process Compliance</t>
  </si>
  <si>
    <t>Is project/tasks under management comply to TSDV process?</t>
  </si>
  <si>
    <t xml:space="preserve">Consistently comply well to TSDV process. Consistently exceed the target of company.  </t>
  </si>
  <si>
    <t xml:space="preserve">For 2015A: Average PCI 98%  - 100% </t>
  </si>
  <si>
    <t>Good comply to TSDV process. Some month has result under the target, but average score is exceed the target.</t>
  </si>
  <si>
    <t xml:space="preserve">For 2015A: Average PCI 96%  - 97% </t>
  </si>
  <si>
    <t>Basically comply to TSDV process. Some month PCI has result under the target, but average score achieve the target.</t>
  </si>
  <si>
    <t xml:space="preserve">For 2015A: Average PCI 90%  - 95% </t>
  </si>
  <si>
    <t xml:space="preserve">Need to improve. Did not achieve the target of company. Usually delay to take corrective action for process audit. </t>
  </si>
  <si>
    <t xml:space="preserve">For 2015A: Average PCI 80%  - 90% </t>
  </si>
  <si>
    <t>Almost do not comply to process during the project implementation.</t>
  </si>
  <si>
    <t>For 2015A: Average PCI &lt; 80%</t>
  </si>
  <si>
    <r>
      <t xml:space="preserve"> </t>
    </r>
    <r>
      <rPr>
        <b/>
        <sz val="11"/>
        <color theme="1"/>
        <rFont val="Arial Narrow"/>
        <family val="2"/>
      </rPr>
      <t>Human Development</t>
    </r>
  </si>
  <si>
    <t>Takes action to ensure that employees fully understand their roles, responsibilities and performance
.</t>
  </si>
  <si>
    <t>standards/expectations and provides ongoing feedback and support as employees strive to achieve expectations</t>
  </si>
  <si>
    <t>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t>
  </si>
  <si>
    <t>Usually works closely with employees to ensure that they understand their roles and responsibilities. Maintains a very good working relationship with employees, and works with them to resolve performance issues. Understand deeply company vision/direction; Frequently provide very good feedback &amp; coaching to employees in works as well as their career development path; Frequently take care employees's motivation &amp; explain for them to understand company vision/direction.</t>
  </si>
  <si>
    <t>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t>
  </si>
  <si>
    <t>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t>
  </si>
  <si>
    <t>Does not maintain good communication with employees. Employees are unclear about their responsibilities and the standards expected of them. Almost no feedback and coaching to employess, leave others work by themselve; Almost no care about employees's motivation</t>
  </si>
  <si>
    <t>Team Leader 5</t>
  </si>
  <si>
    <t>PJ Leader 4</t>
  </si>
  <si>
    <t>Human Development</t>
  </si>
  <si>
    <t>&lt;Task #A1: Please describe in specific about the work task with overall targets: (1) What the task is about? (2) What are your overall targets?&gt;</t>
  </si>
  <si>
    <t>&lt;Task #A2: Please describe in specific about the work task with overall targets: (1) What the task is about? (2) What are your overall targets?&gt;</t>
  </si>
  <si>
    <t>&lt;Task #A3: Please describe in specific about the work task with overall targets: (1) What the task is about? (2) What are your overall targets?&gt;</t>
  </si>
  <si>
    <t>&lt;Task #A4: Please describe in specific about the work task with overall targets: (1) What the task is about? (2) What are your overall targets?&gt;</t>
  </si>
  <si>
    <t>&lt;Task #A5: Please describe in specific about the work task with overall targets: (1) What the task is about? (2) What are your overall targets?&gt;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</si>
</sst>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_ "/>
    <numFmt numFmtId="165" formatCode="0.0_);[Red]\(0.0\)"/>
    <numFmt numFmtId="166" formatCode="0.0"/>
    <numFmt numFmtId="167" formatCode="0.00_ "/>
    <numFmt numFmtId="168" formatCode="0.00_);[Red]\(0.00\)"/>
  </numFmts>
  <fonts count="40" x14ac:knownFonts="1">
    <font>
      <sz val="11"/>
      <name val="Arial"/>
      <family val="2"/>
    </font>
    <font>
      <sz val="24"/>
      <name val="Arial"/>
      <family val="2"/>
    </font>
    <font>
      <b/>
      <sz val="14"/>
      <name val="Arial"/>
      <family val="2"/>
    </font>
    <font>
      <i/>
      <sz val="11"/>
      <name val="Arial"/>
      <family val="2"/>
    </font>
    <font>
      <sz val="18"/>
      <name val="Arial"/>
      <family val="2"/>
    </font>
    <font>
      <sz val="11"/>
      <name val="Arial Narrow"/>
      <family val="2"/>
    </font>
    <font>
      <sz val="10"/>
      <name val="Arial Narrow"/>
      <family val="2"/>
    </font>
    <font>
      <b/>
      <sz val="10"/>
      <name val="Arial Narrow"/>
      <family val="2"/>
    </font>
    <font>
      <i/>
      <sz val="10"/>
      <name val="Arial Narrow"/>
      <family val="2"/>
    </font>
    <font>
      <b/>
      <sz val="11"/>
      <name val="Arial Narrow"/>
      <family val="2"/>
    </font>
    <font>
      <b/>
      <sz val="12"/>
      <name val="Arial Narrow"/>
      <family val="2"/>
    </font>
    <font>
      <b/>
      <sz val="18"/>
      <name val="Arial Narrow"/>
      <family val="2"/>
    </font>
    <font>
      <i/>
      <sz val="11"/>
      <name val="Arial Narrow"/>
      <family val="2"/>
    </font>
    <font>
      <sz val="12"/>
      <name val="Arial Narrow"/>
      <family val="2"/>
    </font>
    <font>
      <sz val="13"/>
      <name val="Times New Roman"/>
      <family val="1"/>
    </font>
    <font>
      <b/>
      <u/>
      <sz val="12"/>
      <name val="Arial Narrow"/>
      <family val="2"/>
    </font>
    <font>
      <b/>
      <u/>
      <sz val="11"/>
      <name val="Arial Narrow"/>
      <family val="2"/>
    </font>
    <font>
      <b/>
      <sz val="16"/>
      <name val="Arial Narrow"/>
      <family val="2"/>
    </font>
    <font>
      <b/>
      <u/>
      <sz val="10"/>
      <name val="Arial Narrow"/>
      <family val="2"/>
    </font>
    <font>
      <b/>
      <i/>
      <sz val="10"/>
      <name val="Arial Narrow"/>
      <family val="2"/>
    </font>
    <font>
      <b/>
      <i/>
      <u/>
      <sz val="10"/>
      <name val="Arial Narrow"/>
      <family val="2"/>
    </font>
    <font>
      <b/>
      <sz val="11"/>
      <name val="Arial"/>
      <family val="2"/>
    </font>
    <font>
      <i/>
      <sz val="11"/>
      <color rgb="FFFF0000"/>
      <name val="Arial"/>
      <family val="2"/>
    </font>
    <font>
      <i/>
      <sz val="12"/>
      <name val="Arial Narrow"/>
      <family val="2"/>
    </font>
    <font>
      <sz val="11"/>
      <color rgb="FFFF0000"/>
      <name val="Arial"/>
      <family val="2"/>
    </font>
    <font>
      <i/>
      <sz val="11"/>
      <color rgb="FFFF0000"/>
      <name val="Arial Narrow"/>
      <family val="2"/>
    </font>
    <font>
      <i/>
      <sz val="14"/>
      <name val="Arial"/>
      <family val="2"/>
    </font>
    <font>
      <i/>
      <sz val="11"/>
      <color theme="0" tint="-0.499984740745262"/>
      <name val="Arial"/>
      <family val="2"/>
    </font>
    <font>
      <b/>
      <sz val="10"/>
      <color theme="1"/>
      <name val="Arial Narrow"/>
      <family val="2"/>
    </font>
    <font>
      <sz val="10"/>
      <name val="Times New Roman"/>
      <family val="1"/>
    </font>
    <font>
      <b/>
      <sz val="10"/>
      <name val="Times New Roman"/>
      <family val="1"/>
    </font>
    <font>
      <b/>
      <sz val="11"/>
      <name val="Times New Roman"/>
      <family val="1"/>
    </font>
    <font>
      <sz val="11"/>
      <name val="Times New Roman"/>
      <family val="1"/>
    </font>
    <font>
      <b/>
      <sz val="18"/>
      <name val="Times New Roman"/>
      <family val="1"/>
    </font>
    <font>
      <sz val="18"/>
      <name val="Times New Roman"/>
      <family val="1"/>
    </font>
    <font>
      <sz val="14"/>
      <name val="Arial"/>
      <family val="2"/>
    </font>
    <font>
      <b/>
      <u/>
      <sz val="20"/>
      <name val="Arial"/>
      <family val="2"/>
    </font>
    <font>
      <b/>
      <sz val="20"/>
      <name val="Arial"/>
      <family val="2"/>
    </font>
    <font>
      <b/>
      <sz val="11"/>
      <color theme="1"/>
      <name val="Arial Narrow"/>
      <family val="2"/>
    </font>
    <font>
      <sz val="10"/>
      <color theme="1"/>
      <name val="Arial Narrow"/>
      <family val="2"/>
    </font>
  </fonts>
  <fills count="23">
    <fill>
      <patternFill patternType="none"/>
    </fill>
    <fill>
      <patternFill patternType="gray125"/>
    </fill>
    <fill>
      <patternFill patternType="solid">
        <fgColor indexed="27"/>
        <bgColor indexed="41"/>
      </patternFill>
    </fill>
    <fill>
      <patternFill patternType="solid">
        <fgColor indexed="9"/>
        <bgColor indexed="27"/>
      </patternFill>
    </fill>
    <fill>
      <patternFill patternType="solid">
        <fgColor indexed="43"/>
        <bgColor indexed="26"/>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13"/>
        <bgColor indexed="64"/>
      </patternFill>
    </fill>
    <fill>
      <patternFill patternType="solid">
        <fgColor rgb="FFB2E4FA"/>
        <bgColor indexed="64"/>
      </patternFill>
    </fill>
    <fill>
      <patternFill patternType="solid">
        <fgColor rgb="FFCCFFFF"/>
        <bgColor indexed="64"/>
      </patternFill>
    </fill>
    <fill>
      <patternFill patternType="solid">
        <fgColor theme="0"/>
        <bgColor indexed="41"/>
      </patternFill>
    </fill>
    <fill>
      <patternFill patternType="solid">
        <fgColor rgb="FFFFC000"/>
        <bgColor indexed="64"/>
      </patternFill>
    </fill>
    <fill>
      <patternFill patternType="solid">
        <fgColor theme="5"/>
        <bgColor indexed="64"/>
      </patternFill>
    </fill>
  </fills>
  <borders count="157">
    <border>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style="medium">
        <color indexed="8"/>
      </right>
      <top style="medium">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bottom style="medium">
        <color indexed="8"/>
      </bottom>
      <diagonal/>
    </border>
    <border>
      <left style="thin">
        <color indexed="8"/>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8"/>
      </left>
      <right/>
      <top/>
      <bottom/>
      <diagonal/>
    </border>
    <border>
      <left style="thin">
        <color indexed="8"/>
      </left>
      <right style="thin">
        <color indexed="8"/>
      </right>
      <top style="medium">
        <color indexed="8"/>
      </top>
      <bottom/>
      <diagonal/>
    </border>
    <border>
      <left style="thin">
        <color indexed="8"/>
      </left>
      <right style="thin">
        <color indexed="8"/>
      </right>
      <top/>
      <bottom/>
      <diagonal/>
    </border>
    <border>
      <left style="thin">
        <color indexed="8"/>
      </left>
      <right/>
      <top/>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medium">
        <color indexed="8"/>
      </left>
      <right style="medium">
        <color indexed="8"/>
      </right>
      <top style="thin">
        <color indexed="8"/>
      </top>
      <bottom/>
      <diagonal/>
    </border>
    <border>
      <left style="medium">
        <color indexed="8"/>
      </left>
      <right/>
      <top style="thin">
        <color indexed="8"/>
      </top>
      <bottom/>
      <diagonal/>
    </border>
    <border diagonalUp="1" diagonalDown="1">
      <left style="thin">
        <color indexed="8"/>
      </left>
      <right/>
      <top style="thin">
        <color indexed="8"/>
      </top>
      <bottom style="thin">
        <color indexed="8"/>
      </bottom>
      <diagonal style="thin">
        <color indexed="8"/>
      </diagonal>
    </border>
    <border diagonalUp="1" diagonalDown="1">
      <left style="thin">
        <color indexed="8"/>
      </left>
      <right style="thin">
        <color indexed="8"/>
      </right>
      <top style="thin">
        <color indexed="8"/>
      </top>
      <bottom style="thin">
        <color indexed="8"/>
      </bottom>
      <diagonal style="thin">
        <color indexed="8"/>
      </diagonal>
    </border>
    <border diagonalUp="1" diagonalDown="1">
      <left style="medium">
        <color indexed="8"/>
      </left>
      <right style="medium">
        <color indexed="8"/>
      </right>
      <top style="thin">
        <color indexed="8"/>
      </top>
      <bottom style="thin">
        <color indexed="8"/>
      </bottom>
      <diagonal style="thin">
        <color indexed="8"/>
      </diagonal>
    </border>
    <border>
      <left style="thin">
        <color indexed="8"/>
      </left>
      <right style="thin">
        <color indexed="8"/>
      </right>
      <top style="thin">
        <color indexed="8"/>
      </top>
      <bottom style="thin">
        <color indexed="8"/>
      </bottom>
      <diagonal/>
    </border>
    <border diagonalUp="1" diagonalDown="1">
      <left style="thin">
        <color indexed="8"/>
      </left>
      <right/>
      <top/>
      <bottom style="thin">
        <color indexed="8"/>
      </bottom>
      <diagonal style="thin">
        <color indexed="8"/>
      </diagonal>
    </border>
    <border diagonalUp="1" diagonalDown="1">
      <left style="thin">
        <color indexed="8"/>
      </left>
      <right style="thin">
        <color indexed="8"/>
      </right>
      <top/>
      <bottom style="thin">
        <color indexed="8"/>
      </bottom>
      <diagonal style="thin">
        <color indexed="8"/>
      </diagonal>
    </border>
    <border>
      <left style="thin">
        <color indexed="8"/>
      </left>
      <right style="thin">
        <color indexed="8"/>
      </right>
      <top/>
      <bottom style="medium">
        <color indexed="8"/>
      </bottom>
      <diagonal/>
    </border>
    <border>
      <left style="medium">
        <color indexed="8"/>
      </left>
      <right/>
      <top style="medium">
        <color indexed="8"/>
      </top>
      <bottom style="medium">
        <color indexed="8"/>
      </bottom>
      <diagonal/>
    </border>
    <border>
      <left/>
      <right/>
      <top style="thin">
        <color indexed="8"/>
      </top>
      <bottom style="medium">
        <color indexed="8"/>
      </bottom>
      <diagonal/>
    </border>
    <border>
      <left style="medium">
        <color indexed="8"/>
      </left>
      <right/>
      <top style="medium">
        <color indexed="8"/>
      </top>
      <bottom/>
      <diagonal/>
    </border>
    <border>
      <left style="thin">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thin">
        <color indexed="8"/>
      </left>
      <right/>
      <top/>
      <bottom style="medium">
        <color indexed="8"/>
      </bottom>
      <diagonal/>
    </border>
    <border>
      <left/>
      <right style="medium">
        <color indexed="8"/>
      </right>
      <top style="thin">
        <color indexed="8"/>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medium">
        <color indexed="8"/>
      </right>
      <top style="medium">
        <color indexed="8"/>
      </top>
      <bottom style="medium">
        <color indexed="8"/>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right/>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hair">
        <color indexed="64"/>
      </right>
      <top/>
      <bottom style="medium">
        <color indexed="64"/>
      </bottom>
      <diagonal/>
    </border>
    <border>
      <left style="medium">
        <color indexed="64"/>
      </left>
      <right style="hair">
        <color indexed="64"/>
      </right>
      <top style="medium">
        <color indexed="64"/>
      </top>
      <bottom/>
      <diagonal/>
    </border>
    <border>
      <left style="medium">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top style="medium">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8"/>
      </bottom>
      <diagonal/>
    </border>
    <border>
      <left/>
      <right/>
      <top style="medium">
        <color indexed="64"/>
      </top>
      <bottom style="thin">
        <color indexed="8"/>
      </bottom>
      <diagonal/>
    </border>
    <border>
      <left style="thin">
        <color indexed="8"/>
      </left>
      <right/>
      <top style="medium">
        <color indexed="64"/>
      </top>
      <bottom style="thin">
        <color indexed="8"/>
      </bottom>
      <diagonal/>
    </border>
    <border>
      <left/>
      <right style="thin">
        <color indexed="8"/>
      </right>
      <top style="medium">
        <color indexed="64"/>
      </top>
      <bottom style="thin">
        <color indexed="8"/>
      </bottom>
      <diagonal/>
    </border>
    <border>
      <left style="thin">
        <color indexed="64"/>
      </left>
      <right style="medium">
        <color indexed="64"/>
      </right>
      <top style="thin">
        <color indexed="64"/>
      </top>
      <bottom style="thin">
        <color indexed="64"/>
      </bottom>
      <diagonal/>
    </border>
    <border>
      <left style="medium">
        <color indexed="64"/>
      </left>
      <right style="thin">
        <color indexed="8"/>
      </right>
      <top style="thin">
        <color indexed="8"/>
      </top>
      <bottom style="thin">
        <color indexed="8"/>
      </bottom>
      <diagonal/>
    </border>
    <border>
      <left style="medium">
        <color indexed="64"/>
      </left>
      <right style="thin">
        <color indexed="8"/>
      </right>
      <top style="thin">
        <color indexed="8"/>
      </top>
      <bottom style="medium">
        <color indexed="8"/>
      </bottom>
      <diagonal/>
    </border>
    <border>
      <left style="medium">
        <color indexed="64"/>
      </left>
      <right/>
      <top style="medium">
        <color indexed="8"/>
      </top>
      <bottom style="medium">
        <color indexed="64"/>
      </bottom>
      <diagonal/>
    </border>
    <border>
      <left/>
      <right/>
      <top style="medium">
        <color indexed="8"/>
      </top>
      <bottom style="medium">
        <color indexed="64"/>
      </bottom>
      <diagonal/>
    </border>
    <border>
      <left/>
      <right style="thin">
        <color indexed="8"/>
      </right>
      <top style="medium">
        <color indexed="8"/>
      </top>
      <bottom style="medium">
        <color indexed="64"/>
      </bottom>
      <diagonal/>
    </border>
    <border>
      <left style="thin">
        <color indexed="8"/>
      </left>
      <right style="thin">
        <color indexed="8"/>
      </right>
      <top/>
      <bottom style="medium">
        <color indexed="64"/>
      </bottom>
      <diagonal/>
    </border>
    <border>
      <left/>
      <right style="medium">
        <color indexed="64"/>
      </right>
      <top style="medium">
        <color indexed="64"/>
      </top>
      <bottom style="thin">
        <color indexed="8"/>
      </bottom>
      <diagonal/>
    </border>
    <border>
      <left/>
      <right style="medium">
        <color indexed="64"/>
      </right>
      <top style="thin">
        <color indexed="8"/>
      </top>
      <bottom style="medium">
        <color indexed="8"/>
      </bottom>
      <diagonal/>
    </border>
    <border>
      <left style="medium">
        <color indexed="64"/>
      </left>
      <right style="thin">
        <color indexed="8"/>
      </right>
      <top/>
      <bottom style="thin">
        <color indexed="8"/>
      </bottom>
      <diagonal/>
    </border>
    <border>
      <left style="thin">
        <color indexed="64"/>
      </left>
      <right style="thin">
        <color indexed="64"/>
      </right>
      <top/>
      <bottom style="thin">
        <color indexed="64"/>
      </bottom>
      <diagonal/>
    </border>
    <border>
      <left style="thin">
        <color indexed="8"/>
      </left>
      <right/>
      <top style="thin">
        <color indexed="8"/>
      </top>
      <bottom style="medium">
        <color indexed="64"/>
      </bottom>
      <diagonal/>
    </border>
    <border>
      <left/>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8"/>
      </left>
      <right/>
      <top style="medium">
        <color indexed="64"/>
      </top>
      <bottom/>
      <diagonal/>
    </border>
    <border>
      <left style="thin">
        <color indexed="8"/>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8"/>
      </top>
      <bottom style="medium">
        <color indexed="64"/>
      </bottom>
      <diagonal/>
    </border>
    <border>
      <left/>
      <right style="medium">
        <color indexed="64"/>
      </right>
      <top style="thin">
        <color indexed="8"/>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8"/>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8"/>
      </top>
      <bottom style="medium">
        <color indexed="8"/>
      </bottom>
      <diagonal/>
    </border>
    <border>
      <left/>
      <right style="thin">
        <color indexed="64"/>
      </right>
      <top style="thin">
        <color indexed="8"/>
      </top>
      <bottom style="thin">
        <color indexed="8"/>
      </bottom>
      <diagonal/>
    </border>
    <border>
      <left/>
      <right style="thin">
        <color indexed="64"/>
      </right>
      <top style="medium">
        <color indexed="64"/>
      </top>
      <bottom style="thin">
        <color indexed="8"/>
      </bottom>
      <diagonal/>
    </border>
    <border>
      <left/>
      <right style="thin">
        <color indexed="8"/>
      </right>
      <top style="thin">
        <color indexed="8"/>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Up="1" diagonalDown="1">
      <left style="thin">
        <color indexed="64"/>
      </left>
      <right style="thin">
        <color indexed="64"/>
      </right>
      <top style="thin">
        <color indexed="64"/>
      </top>
      <bottom style="thin">
        <color indexed="64"/>
      </bottom>
      <diagonal style="thin">
        <color indexed="64"/>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424">
    <xf numFmtId="0" fontId="0" fillId="0" borderId="0" xfId="0">
      <alignment vertical="center"/>
    </xf>
    <xf numFmtId="0" fontId="0" fillId="2" borderId="1" xfId="0" applyFill="1" applyBorder="1">
      <alignment vertical="center"/>
    </xf>
    <xf numFmtId="0" fontId="1" fillId="2" borderId="2"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4" xfId="0" applyFont="1" applyFill="1" applyBorder="1">
      <alignment vertical="center"/>
    </xf>
    <xf numFmtId="0" fontId="0" fillId="0" borderId="0" xfId="0" applyFill="1" applyBorder="1">
      <alignment vertical="center"/>
    </xf>
    <xf numFmtId="0" fontId="0" fillId="0" borderId="5" xfId="0" applyFont="1" applyBorder="1">
      <alignment vertical="center"/>
    </xf>
    <xf numFmtId="0" fontId="0" fillId="0" borderId="0" xfId="0" applyBorder="1">
      <alignment vertical="center"/>
    </xf>
    <xf numFmtId="0" fontId="0" fillId="0" borderId="6" xfId="0" applyFont="1" applyBorder="1">
      <alignment vertical="center"/>
    </xf>
    <xf numFmtId="0" fontId="2" fillId="0" borderId="0" xfId="0" applyFont="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0" xfId="0" applyBorder="1" applyAlignment="1">
      <alignment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12" xfId="0" applyFont="1" applyFill="1" applyBorder="1" applyAlignment="1">
      <alignment horizontal="center" vertical="center"/>
    </xf>
    <xf numFmtId="0" fontId="0" fillId="2" borderId="13" xfId="0" applyFill="1" applyBorder="1" applyAlignment="1">
      <alignment horizontal="center" vertical="center"/>
    </xf>
    <xf numFmtId="0" fontId="0" fillId="2" borderId="4" xfId="0" applyFont="1" applyFill="1" applyBorder="1" applyAlignment="1">
      <alignment horizontal="center" vertical="center"/>
    </xf>
    <xf numFmtId="0" fontId="0" fillId="2" borderId="14" xfId="0" applyFont="1" applyFill="1" applyBorder="1" applyAlignment="1">
      <alignment horizontal="center" vertical="center" wrapText="1"/>
    </xf>
    <xf numFmtId="0" fontId="0" fillId="2" borderId="15" xfId="0" applyFont="1" applyFill="1" applyBorder="1" applyAlignment="1">
      <alignment horizontal="center" vertical="center"/>
    </xf>
    <xf numFmtId="0" fontId="0" fillId="2" borderId="15" xfId="0" applyFont="1" applyFill="1" applyBorder="1" applyAlignment="1">
      <alignment horizontal="center" vertical="center" wrapText="1"/>
    </xf>
    <xf numFmtId="0" fontId="0" fillId="2" borderId="16" xfId="0" applyFont="1" applyFill="1" applyBorder="1" applyAlignment="1">
      <alignment horizontal="center" vertical="center"/>
    </xf>
    <xf numFmtId="0" fontId="0" fillId="2" borderId="16" xfId="0" applyFont="1" applyFill="1" applyBorder="1" applyAlignment="1">
      <alignment horizontal="center" vertical="center" wrapText="1"/>
    </xf>
    <xf numFmtId="0" fontId="0" fillId="2" borderId="6" xfId="0" applyFont="1" applyFill="1" applyBorder="1" applyAlignment="1">
      <alignment horizontal="center" vertical="center" wrapText="1"/>
    </xf>
    <xf numFmtId="0" fontId="0" fillId="0" borderId="17" xfId="0" applyBorder="1">
      <alignment vertical="center"/>
    </xf>
    <xf numFmtId="0" fontId="0" fillId="0" borderId="0" xfId="0" applyAlignment="1">
      <alignment vertical="center" wrapText="1"/>
    </xf>
    <xf numFmtId="0" fontId="0" fillId="0" borderId="21" xfId="0" applyBorder="1">
      <alignment vertical="center"/>
    </xf>
    <xf numFmtId="0" fontId="0" fillId="0" borderId="22" xfId="0" applyBorder="1" applyAlignment="1">
      <alignment vertical="center"/>
    </xf>
    <xf numFmtId="0" fontId="0" fillId="0" borderId="22" xfId="0" applyBorder="1">
      <alignment vertical="center"/>
    </xf>
    <xf numFmtId="0" fontId="0" fillId="0" borderId="1" xfId="0" applyBorder="1">
      <alignment vertical="center"/>
    </xf>
    <xf numFmtId="164" fontId="0" fillId="0" borderId="23" xfId="0" applyNumberFormat="1" applyBorder="1">
      <alignment vertical="center"/>
    </xf>
    <xf numFmtId="0" fontId="0" fillId="0" borderId="26" xfId="0" applyBorder="1">
      <alignment vertical="center"/>
    </xf>
    <xf numFmtId="9" fontId="0" fillId="0" borderId="24" xfId="0" applyNumberFormat="1" applyBorder="1">
      <alignment vertical="center"/>
    </xf>
    <xf numFmtId="0" fontId="0" fillId="3" borderId="23" xfId="0" applyFill="1" applyBorder="1">
      <alignment vertical="center"/>
    </xf>
    <xf numFmtId="0" fontId="0" fillId="0" borderId="27" xfId="0" applyBorder="1">
      <alignment vertical="center"/>
    </xf>
    <xf numFmtId="0" fontId="0" fillId="4" borderId="28" xfId="0" applyFill="1" applyBorder="1">
      <alignment vertical="center"/>
    </xf>
    <xf numFmtId="0" fontId="0" fillId="4" borderId="27" xfId="0" applyFill="1" applyBorder="1">
      <alignment vertical="center"/>
    </xf>
    <xf numFmtId="0" fontId="0" fillId="0" borderId="29" xfId="0" applyBorder="1">
      <alignment vertical="center"/>
    </xf>
    <xf numFmtId="0" fontId="0" fillId="0" borderId="0" xfId="0" applyAlignment="1">
      <alignment vertical="center" wrapText="1" shrinkToFit="1"/>
    </xf>
    <xf numFmtId="164" fontId="0" fillId="0" borderId="1" xfId="0" applyNumberFormat="1" applyBorder="1">
      <alignment vertical="center"/>
    </xf>
    <xf numFmtId="164" fontId="0" fillId="4" borderId="30" xfId="0" applyNumberFormat="1" applyFill="1" applyBorder="1">
      <alignment vertical="center"/>
    </xf>
    <xf numFmtId="0" fontId="0" fillId="0" borderId="31" xfId="0" applyBorder="1">
      <alignment vertical="center"/>
    </xf>
    <xf numFmtId="0" fontId="0" fillId="4" borderId="32" xfId="0" applyFill="1" applyBorder="1">
      <alignment vertical="center"/>
    </xf>
    <xf numFmtId="0" fontId="0" fillId="0" borderId="14" xfId="0" applyBorder="1">
      <alignment vertical="center"/>
    </xf>
    <xf numFmtId="0" fontId="0" fillId="0" borderId="33" xfId="0" applyBorder="1">
      <alignment vertical="center"/>
    </xf>
    <xf numFmtId="0" fontId="0" fillId="2" borderId="35" xfId="0" applyFill="1" applyBorder="1" applyAlignment="1">
      <alignment horizontal="center" vertical="center"/>
    </xf>
    <xf numFmtId="0" fontId="0" fillId="0" borderId="2" xfId="0" applyFont="1" applyBorder="1" applyAlignment="1">
      <alignment vertical="center" wrapText="1"/>
    </xf>
    <xf numFmtId="0" fontId="0" fillId="0" borderId="2" xfId="0" applyBorder="1" applyAlignment="1">
      <alignment vertical="center"/>
    </xf>
    <xf numFmtId="0" fontId="0" fillId="0" borderId="35" xfId="0" applyFont="1" applyBorder="1" applyAlignment="1">
      <alignment vertical="center" wrapText="1"/>
    </xf>
    <xf numFmtId="0" fontId="0" fillId="0" borderId="35" xfId="0" applyBorder="1" applyAlignment="1">
      <alignment vertical="center"/>
    </xf>
    <xf numFmtId="0" fontId="2" fillId="0" borderId="0" xfId="0" applyFont="1" applyBorder="1">
      <alignment vertical="center"/>
    </xf>
    <xf numFmtId="0" fontId="0" fillId="2" borderId="36" xfId="0" applyFont="1" applyFill="1" applyBorder="1" applyAlignment="1">
      <alignment horizontal="center" vertical="center"/>
    </xf>
    <xf numFmtId="0" fontId="0" fillId="2" borderId="37" xfId="0" applyFont="1" applyFill="1" applyBorder="1" applyAlignment="1">
      <alignment horizontal="center" vertical="center"/>
    </xf>
    <xf numFmtId="0" fontId="0" fillId="2" borderId="38" xfId="0" applyFont="1" applyFill="1" applyBorder="1" applyAlignment="1">
      <alignment horizontal="center" vertical="center"/>
    </xf>
    <xf numFmtId="0" fontId="0" fillId="2" borderId="39" xfId="0" applyFill="1" applyBorder="1" applyAlignment="1">
      <alignment horizontal="center" vertical="center"/>
    </xf>
    <xf numFmtId="0" fontId="0" fillId="2" borderId="14" xfId="0" applyFill="1" applyBorder="1" applyAlignment="1">
      <alignment horizontal="center" vertical="center"/>
    </xf>
    <xf numFmtId="0" fontId="0" fillId="2" borderId="40" xfId="0" applyFill="1" applyBorder="1" applyAlignment="1">
      <alignment horizontal="center" vertical="center"/>
    </xf>
    <xf numFmtId="0" fontId="0" fillId="2" borderId="41" xfId="0" applyFill="1" applyBorder="1" applyAlignment="1">
      <alignment horizontal="center" vertical="center"/>
    </xf>
    <xf numFmtId="0" fontId="0" fillId="0" borderId="36" xfId="0" applyBorder="1">
      <alignment vertical="center"/>
    </xf>
    <xf numFmtId="0" fontId="0" fillId="2" borderId="18" xfId="0" applyFont="1" applyFill="1" applyBorder="1" applyAlignment="1">
      <alignment horizontal="center" vertical="center"/>
    </xf>
    <xf numFmtId="0" fontId="0" fillId="2" borderId="33" xfId="0" applyFill="1" applyBorder="1" applyAlignment="1">
      <alignment horizontal="center" vertical="center"/>
    </xf>
    <xf numFmtId="0" fontId="0" fillId="0" borderId="37" xfId="0" applyBorder="1">
      <alignment vertical="center"/>
    </xf>
    <xf numFmtId="0" fontId="0" fillId="0" borderId="18" xfId="0" applyBorder="1">
      <alignment vertical="center"/>
    </xf>
    <xf numFmtId="0" fontId="0" fillId="0" borderId="38" xfId="0" applyBorder="1">
      <alignment vertical="center"/>
    </xf>
    <xf numFmtId="0" fontId="0" fillId="0" borderId="39" xfId="0" applyBorder="1">
      <alignment vertical="center"/>
    </xf>
    <xf numFmtId="0" fontId="0" fillId="0" borderId="20" xfId="0" applyBorder="1">
      <alignment vertical="center"/>
    </xf>
    <xf numFmtId="0" fontId="0" fillId="0" borderId="19" xfId="0" applyBorder="1">
      <alignment vertical="center"/>
    </xf>
    <xf numFmtId="0" fontId="0" fillId="0" borderId="42" xfId="0" applyBorder="1">
      <alignment vertical="center"/>
    </xf>
    <xf numFmtId="0" fontId="0" fillId="0" borderId="40" xfId="0" applyBorder="1">
      <alignment vertical="center"/>
    </xf>
    <xf numFmtId="0" fontId="3" fillId="0" borderId="43" xfId="0" applyFont="1" applyBorder="1">
      <alignment vertical="center"/>
    </xf>
    <xf numFmtId="0" fontId="0" fillId="0" borderId="43" xfId="0" applyBorder="1">
      <alignment vertical="center"/>
    </xf>
    <xf numFmtId="0" fontId="3" fillId="0" borderId="40" xfId="0" applyFont="1" applyBorder="1">
      <alignment vertical="center"/>
    </xf>
    <xf numFmtId="0" fontId="0" fillId="0" borderId="44" xfId="0" applyBorder="1">
      <alignment vertical="center"/>
    </xf>
    <xf numFmtId="0" fontId="4" fillId="0" borderId="36" xfId="0" applyFont="1" applyBorder="1">
      <alignment vertical="center"/>
    </xf>
    <xf numFmtId="0" fontId="4" fillId="0" borderId="17" xfId="0" applyFont="1" applyBorder="1">
      <alignment vertical="center"/>
    </xf>
    <xf numFmtId="0" fontId="4" fillId="0" borderId="34" xfId="0" applyFont="1" applyFill="1" applyBorder="1">
      <alignment vertical="center"/>
    </xf>
    <xf numFmtId="0" fontId="4" fillId="0" borderId="0" xfId="0" applyFont="1" applyBorder="1">
      <alignment vertical="center"/>
    </xf>
    <xf numFmtId="0" fontId="0" fillId="0" borderId="0" xfId="0" applyBorder="1" applyAlignment="1">
      <alignment horizontal="right" vertical="center" wrapText="1"/>
    </xf>
    <xf numFmtId="0" fontId="0" fillId="0" borderId="23" xfId="0" applyBorder="1">
      <alignment vertical="center"/>
    </xf>
    <xf numFmtId="0" fontId="0" fillId="0" borderId="46" xfId="0" applyBorder="1">
      <alignment vertical="center"/>
    </xf>
    <xf numFmtId="0" fontId="0" fillId="0" borderId="47" xfId="0" applyBorder="1">
      <alignment vertical="center"/>
    </xf>
    <xf numFmtId="0" fontId="3" fillId="0" borderId="20" xfId="0" applyFont="1" applyBorder="1">
      <alignment vertical="center"/>
    </xf>
    <xf numFmtId="0" fontId="0" fillId="0" borderId="48" xfId="0" applyBorder="1">
      <alignment vertical="center"/>
    </xf>
    <xf numFmtId="0" fontId="3" fillId="0" borderId="0" xfId="0" applyFont="1"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3" fillId="0" borderId="0" xfId="0" applyFont="1">
      <alignment vertical="center"/>
    </xf>
    <xf numFmtId="0" fontId="0" fillId="0" borderId="0" xfId="0" applyAlignment="1">
      <alignment horizontal="right" vertical="center" wrapText="1"/>
    </xf>
    <xf numFmtId="0" fontId="6" fillId="0" borderId="0" xfId="0" applyFont="1" applyAlignment="1">
      <alignment vertical="center" wrapText="1"/>
    </xf>
    <xf numFmtId="0" fontId="5" fillId="0" borderId="0" xfId="0" applyFont="1" applyAlignment="1">
      <alignment vertical="center"/>
    </xf>
    <xf numFmtId="0" fontId="6" fillId="0" borderId="0" xfId="0" applyFont="1" applyAlignment="1">
      <alignment horizontal="center" vertical="center"/>
    </xf>
    <xf numFmtId="0" fontId="7" fillId="0" borderId="0" xfId="0" applyFont="1">
      <alignment vertical="center"/>
    </xf>
    <xf numFmtId="0" fontId="8" fillId="0" borderId="0" xfId="0" applyFont="1">
      <alignment vertical="center"/>
    </xf>
    <xf numFmtId="0" fontId="10" fillId="0" borderId="0" xfId="0" applyFont="1">
      <alignment vertical="center"/>
    </xf>
    <xf numFmtId="0" fontId="9" fillId="0" borderId="0" xfId="0" applyFont="1" applyAlignment="1">
      <alignment vertical="center"/>
    </xf>
    <xf numFmtId="0" fontId="11" fillId="0" borderId="0" xfId="0" applyFont="1" applyAlignment="1">
      <alignment vertical="center"/>
    </xf>
    <xf numFmtId="0" fontId="6" fillId="0" borderId="0" xfId="0" applyFont="1" applyAlignment="1">
      <alignment horizontal="center" vertical="center" wrapText="1"/>
    </xf>
    <xf numFmtId="0" fontId="10" fillId="0" borderId="0" xfId="0" applyFont="1" applyAlignment="1">
      <alignment vertical="center"/>
    </xf>
    <xf numFmtId="0" fontId="12" fillId="0" borderId="0" xfId="0" applyFont="1" applyAlignment="1">
      <alignment vertical="center"/>
    </xf>
    <xf numFmtId="0" fontId="7" fillId="0" borderId="0" xfId="0" applyFont="1" applyAlignment="1">
      <alignment horizontal="left" vertical="center"/>
    </xf>
    <xf numFmtId="0" fontId="13" fillId="0" borderId="0" xfId="0" applyFont="1" applyAlignment="1">
      <alignment vertical="center"/>
    </xf>
    <xf numFmtId="0" fontId="14" fillId="0" borderId="0" xfId="0" applyFont="1" applyAlignment="1">
      <alignment vertical="center"/>
    </xf>
    <xf numFmtId="0" fontId="8" fillId="0" borderId="0" xfId="0" applyFont="1" applyAlignment="1">
      <alignment vertical="center"/>
    </xf>
    <xf numFmtId="0" fontId="8" fillId="0" borderId="0" xfId="0" applyFont="1" applyAlignment="1">
      <alignment horizontal="left" vertical="center"/>
    </xf>
    <xf numFmtId="0" fontId="15" fillId="0" borderId="0" xfId="0" applyFont="1" applyAlignment="1">
      <alignment vertical="center"/>
    </xf>
    <xf numFmtId="9" fontId="6" fillId="0" borderId="56" xfId="0" applyNumberFormat="1" applyFont="1" applyBorder="1" applyAlignment="1">
      <alignment horizontal="center" vertical="center" wrapText="1"/>
    </xf>
    <xf numFmtId="0" fontId="6" fillId="0" borderId="63" xfId="0" applyFont="1" applyBorder="1" applyAlignment="1">
      <alignment vertical="center" wrapText="1"/>
    </xf>
    <xf numFmtId="0" fontId="7" fillId="6" borderId="61" xfId="0" applyFont="1" applyFill="1" applyBorder="1" applyAlignment="1">
      <alignment vertical="center"/>
    </xf>
    <xf numFmtId="0" fontId="6" fillId="6" borderId="61" xfId="0" applyFont="1" applyFill="1" applyBorder="1" applyAlignment="1">
      <alignment vertical="center" wrapText="1"/>
    </xf>
    <xf numFmtId="0" fontId="7" fillId="6" borderId="60" xfId="0" applyFont="1" applyFill="1" applyBorder="1" applyAlignment="1">
      <alignment vertical="center"/>
    </xf>
    <xf numFmtId="0" fontId="6" fillId="6" borderId="62" xfId="0" applyFont="1" applyFill="1" applyBorder="1" applyAlignment="1">
      <alignment vertical="center" wrapText="1"/>
    </xf>
    <xf numFmtId="0" fontId="8" fillId="7" borderId="57" xfId="0" applyFont="1" applyFill="1" applyBorder="1" applyAlignment="1">
      <alignment vertical="center"/>
    </xf>
    <xf numFmtId="0" fontId="6" fillId="7" borderId="59" xfId="0" applyFont="1" applyFill="1" applyBorder="1" applyAlignment="1">
      <alignment vertical="center" wrapText="1"/>
    </xf>
    <xf numFmtId="0" fontId="8" fillId="7" borderId="58" xfId="0" applyFont="1" applyFill="1" applyBorder="1" applyAlignment="1">
      <alignment vertical="center"/>
    </xf>
    <xf numFmtId="0" fontId="6" fillId="0" borderId="66" xfId="0" applyFont="1" applyBorder="1" applyAlignment="1">
      <alignment horizontal="center" vertical="center" wrapText="1"/>
    </xf>
    <xf numFmtId="0" fontId="6" fillId="9" borderId="52" xfId="0" applyFont="1" applyFill="1" applyBorder="1" applyAlignment="1">
      <alignment vertical="center" wrapText="1"/>
    </xf>
    <xf numFmtId="0" fontId="6" fillId="9" borderId="62" xfId="0" applyFont="1" applyFill="1" applyBorder="1" applyAlignment="1">
      <alignment horizontal="center" vertical="center" wrapText="1"/>
    </xf>
    <xf numFmtId="0" fontId="6" fillId="9" borderId="60" xfId="0" applyFont="1" applyFill="1" applyBorder="1" applyAlignment="1">
      <alignment horizontal="center" vertical="center" wrapText="1"/>
    </xf>
    <xf numFmtId="0" fontId="6" fillId="9" borderId="62" xfId="0" applyFont="1" applyFill="1" applyBorder="1" applyAlignment="1">
      <alignment vertical="center" wrapText="1"/>
    </xf>
    <xf numFmtId="0" fontId="7" fillId="6" borderId="53" xfId="0" applyFont="1" applyFill="1" applyBorder="1" applyAlignment="1">
      <alignment vertical="center" wrapText="1"/>
    </xf>
    <xf numFmtId="0" fontId="6" fillId="6" borderId="57" xfId="0" applyFont="1" applyFill="1" applyBorder="1" applyAlignment="1">
      <alignment vertical="center" wrapText="1"/>
    </xf>
    <xf numFmtId="0" fontId="7" fillId="6" borderId="55" xfId="0" applyFont="1" applyFill="1" applyBorder="1" applyAlignment="1">
      <alignment vertical="center" wrapText="1"/>
    </xf>
    <xf numFmtId="0" fontId="6" fillId="0" borderId="68" xfId="0" applyFont="1" applyBorder="1" applyAlignment="1">
      <alignment vertical="center" wrapText="1"/>
    </xf>
    <xf numFmtId="9" fontId="6" fillId="0" borderId="69" xfId="0" applyNumberFormat="1" applyFont="1" applyBorder="1" applyAlignment="1">
      <alignment horizontal="center" vertical="center" wrapText="1"/>
    </xf>
    <xf numFmtId="0" fontId="6" fillId="0" borderId="70" xfId="0" applyFont="1" applyBorder="1" applyAlignment="1">
      <alignment horizontal="center" vertical="center" wrapText="1"/>
    </xf>
    <xf numFmtId="0" fontId="6" fillId="0" borderId="71" xfId="0" applyFont="1" applyBorder="1" applyAlignment="1">
      <alignment vertical="center" wrapText="1"/>
    </xf>
    <xf numFmtId="9" fontId="6" fillId="0" borderId="72" xfId="0" applyNumberFormat="1" applyFont="1" applyBorder="1" applyAlignment="1">
      <alignment horizontal="center" vertical="center" wrapText="1"/>
    </xf>
    <xf numFmtId="0" fontId="6" fillId="0" borderId="73" xfId="0" applyFont="1" applyBorder="1" applyAlignment="1">
      <alignment horizontal="center" vertical="center" wrapText="1"/>
    </xf>
    <xf numFmtId="0" fontId="7" fillId="6" borderId="55" xfId="0" applyFont="1" applyFill="1" applyBorder="1" applyAlignment="1">
      <alignment horizontal="center" vertical="center" wrapText="1"/>
    </xf>
    <xf numFmtId="0" fontId="6" fillId="6" borderId="57" xfId="0" applyFont="1" applyFill="1" applyBorder="1" applyAlignment="1">
      <alignment horizontal="center" vertical="center" wrapText="1"/>
    </xf>
    <xf numFmtId="0" fontId="6" fillId="6" borderId="64" xfId="0" applyFont="1" applyFill="1" applyBorder="1" applyAlignment="1">
      <alignment horizontal="center" vertical="center" wrapText="1"/>
    </xf>
    <xf numFmtId="0" fontId="6" fillId="7" borderId="54" xfId="0" applyFont="1" applyFill="1" applyBorder="1" applyAlignment="1">
      <alignment vertical="center" wrapText="1"/>
    </xf>
    <xf numFmtId="0" fontId="6" fillId="7" borderId="67" xfId="0" applyFont="1" applyFill="1" applyBorder="1" applyAlignment="1">
      <alignment vertical="center" wrapText="1"/>
    </xf>
    <xf numFmtId="0" fontId="7" fillId="0" borderId="0" xfId="0" applyFont="1" applyAlignment="1">
      <alignment vertical="center" wrapText="1"/>
    </xf>
    <xf numFmtId="0" fontId="7" fillId="0" borderId="0" xfId="0" applyFont="1" applyAlignment="1">
      <alignment vertical="center"/>
    </xf>
    <xf numFmtId="0" fontId="7" fillId="7" borderId="66" xfId="0" applyFont="1" applyFill="1" applyBorder="1" applyAlignment="1">
      <alignment vertical="center" wrapText="1"/>
    </xf>
    <xf numFmtId="0" fontId="7" fillId="7" borderId="59" xfId="0" applyFont="1" applyFill="1" applyBorder="1" applyAlignment="1">
      <alignment vertical="center" wrapText="1"/>
    </xf>
    <xf numFmtId="0" fontId="7" fillId="9" borderId="62" xfId="0" applyFont="1" applyFill="1" applyBorder="1" applyAlignment="1">
      <alignment vertical="center" wrapText="1"/>
    </xf>
    <xf numFmtId="0" fontId="7" fillId="9" borderId="65" xfId="0" applyFont="1" applyFill="1" applyBorder="1" applyAlignment="1">
      <alignment vertical="center" wrapText="1"/>
    </xf>
    <xf numFmtId="0" fontId="7" fillId="5" borderId="70" xfId="0" applyFont="1" applyFill="1" applyBorder="1" applyAlignment="1">
      <alignment horizontal="left" vertical="center" wrapText="1"/>
    </xf>
    <xf numFmtId="0" fontId="8" fillId="8" borderId="60" xfId="0" applyFont="1" applyFill="1" applyBorder="1" applyAlignment="1">
      <alignment vertical="center"/>
    </xf>
    <xf numFmtId="0" fontId="8" fillId="8" borderId="61" xfId="0" applyFont="1" applyFill="1" applyBorder="1" applyAlignment="1">
      <alignment vertical="center"/>
    </xf>
    <xf numFmtId="0" fontId="8" fillId="8" borderId="62" xfId="0" applyFont="1" applyFill="1" applyBorder="1" applyAlignment="1">
      <alignment vertical="center"/>
    </xf>
    <xf numFmtId="0" fontId="10" fillId="5" borderId="52" xfId="0" applyFont="1" applyFill="1" applyBorder="1" applyAlignment="1">
      <alignment vertical="center"/>
    </xf>
    <xf numFmtId="0" fontId="17" fillId="0" borderId="0" xfId="0" applyFont="1" applyAlignment="1">
      <alignment vertical="center" wrapText="1"/>
    </xf>
    <xf numFmtId="0" fontId="6" fillId="0" borderId="70" xfId="0" applyFont="1" applyBorder="1" applyAlignment="1">
      <alignment horizontal="center" vertical="center"/>
    </xf>
    <xf numFmtId="0" fontId="6" fillId="0" borderId="79" xfId="0" applyFont="1" applyBorder="1" applyAlignment="1">
      <alignment vertical="center" wrapText="1"/>
    </xf>
    <xf numFmtId="0" fontId="6" fillId="0" borderId="73" xfId="0" applyFont="1" applyBorder="1" applyAlignment="1">
      <alignment horizontal="center" vertical="center"/>
    </xf>
    <xf numFmtId="0" fontId="6" fillId="0" borderId="80" xfId="0" applyFont="1" applyBorder="1" applyAlignment="1">
      <alignment vertical="center" wrapText="1"/>
    </xf>
    <xf numFmtId="0" fontId="6" fillId="0" borderId="81" xfId="0" applyFont="1" applyBorder="1" applyAlignment="1">
      <alignment horizontal="center" vertical="center"/>
    </xf>
    <xf numFmtId="0" fontId="6" fillId="0" borderId="82" xfId="0" applyFont="1" applyBorder="1" applyAlignment="1">
      <alignment vertical="center" wrapText="1"/>
    </xf>
    <xf numFmtId="0" fontId="6" fillId="10" borderId="69" xfId="0" applyFont="1" applyFill="1" applyBorder="1" applyAlignment="1">
      <alignment vertical="center" wrapText="1"/>
    </xf>
    <xf numFmtId="0" fontId="6" fillId="10" borderId="72" xfId="0" applyFont="1" applyFill="1" applyBorder="1" applyAlignment="1">
      <alignment vertical="center" wrapText="1"/>
    </xf>
    <xf numFmtId="0" fontId="6" fillId="10" borderId="56" xfId="0" applyFont="1" applyFill="1" applyBorder="1" applyAlignment="1">
      <alignment vertical="center" wrapText="1"/>
    </xf>
    <xf numFmtId="0" fontId="0" fillId="0" borderId="83" xfId="0" applyBorder="1">
      <alignment vertical="center"/>
    </xf>
    <xf numFmtId="0" fontId="0" fillId="2" borderId="84" xfId="0" applyFill="1" applyBorder="1" applyAlignment="1">
      <alignment horizontal="center" vertical="center"/>
    </xf>
    <xf numFmtId="0" fontId="0" fillId="2" borderId="85" xfId="0" applyFill="1" applyBorder="1" applyAlignment="1">
      <alignment horizontal="center" vertical="center"/>
    </xf>
    <xf numFmtId="0" fontId="0" fillId="2" borderId="86" xfId="0" applyFont="1" applyFill="1" applyBorder="1" applyAlignment="1">
      <alignment horizontal="center" vertical="center"/>
    </xf>
    <xf numFmtId="0" fontId="0" fillId="2" borderId="87" xfId="0" applyFill="1" applyBorder="1" applyAlignment="1">
      <alignment horizontal="center" vertical="center"/>
    </xf>
    <xf numFmtId="0" fontId="0" fillId="0" borderId="88" xfId="0" applyBorder="1">
      <alignment vertical="center"/>
    </xf>
    <xf numFmtId="0" fontId="0" fillId="0" borderId="89" xfId="0" applyBorder="1">
      <alignment vertical="center"/>
    </xf>
    <xf numFmtId="0" fontId="0" fillId="0" borderId="90" xfId="0" applyBorder="1">
      <alignment vertical="center"/>
    </xf>
    <xf numFmtId="0" fontId="0" fillId="0" borderId="91" xfId="0" applyBorder="1">
      <alignment vertical="center"/>
    </xf>
    <xf numFmtId="0" fontId="0" fillId="0" borderId="92" xfId="0" applyBorder="1" applyAlignment="1">
      <alignment vertical="center"/>
    </xf>
    <xf numFmtId="0" fontId="0" fillId="0" borderId="92" xfId="0" applyBorder="1">
      <alignment vertical="center"/>
    </xf>
    <xf numFmtId="0" fontId="0" fillId="0" borderId="93" xfId="0" applyBorder="1">
      <alignment vertical="center"/>
    </xf>
    <xf numFmtId="0" fontId="0" fillId="2" borderId="95" xfId="0" applyFont="1" applyFill="1" applyBorder="1" applyAlignment="1">
      <alignment horizontal="center" vertical="center"/>
    </xf>
    <xf numFmtId="0" fontId="0" fillId="2" borderId="96" xfId="0" applyFont="1" applyFill="1" applyBorder="1" applyAlignment="1">
      <alignment horizontal="center" vertical="center" wrapText="1"/>
    </xf>
    <xf numFmtId="0" fontId="0" fillId="0" borderId="97" xfId="0" applyBorder="1">
      <alignment vertical="center"/>
    </xf>
    <xf numFmtId="0" fontId="0" fillId="0" borderId="49" xfId="0" applyFont="1" applyBorder="1" applyAlignment="1">
      <alignment vertical="center" wrapText="1"/>
    </xf>
    <xf numFmtId="0" fontId="0" fillId="0" borderId="49" xfId="0" applyBorder="1" applyAlignment="1">
      <alignment vertical="center"/>
    </xf>
    <xf numFmtId="0" fontId="0" fillId="0" borderId="98" xfId="0" applyBorder="1">
      <alignment vertical="center"/>
    </xf>
    <xf numFmtId="0" fontId="0" fillId="2" borderId="95" xfId="0" applyFill="1" applyBorder="1" applyAlignment="1">
      <alignment horizontal="center" vertical="center"/>
    </xf>
    <xf numFmtId="0" fontId="0" fillId="2" borderId="57" xfId="0" applyFont="1" applyFill="1" applyBorder="1" applyAlignment="1">
      <alignment horizontal="center" vertical="center" wrapText="1"/>
    </xf>
    <xf numFmtId="0" fontId="0" fillId="2" borderId="99" xfId="0" applyFont="1" applyFill="1" applyBorder="1" applyAlignment="1">
      <alignment horizontal="center" vertical="center"/>
    </xf>
    <xf numFmtId="0" fontId="0" fillId="2" borderId="100" xfId="0" applyFill="1" applyBorder="1" applyAlignment="1">
      <alignment horizontal="center" vertical="center"/>
    </xf>
    <xf numFmtId="0" fontId="0" fillId="2" borderId="100" xfId="0" applyFont="1" applyFill="1" applyBorder="1" applyAlignment="1">
      <alignment horizontal="center" vertical="center" wrapText="1"/>
    </xf>
    <xf numFmtId="0" fontId="0" fillId="2" borderId="101" xfId="0" applyFont="1" applyFill="1" applyBorder="1" applyAlignment="1">
      <alignment horizontal="center" vertical="center" wrapText="1"/>
    </xf>
    <xf numFmtId="0" fontId="0" fillId="2" borderId="53" xfId="0" applyFont="1" applyFill="1" applyBorder="1" applyAlignment="1">
      <alignment horizontal="center" vertical="center"/>
    </xf>
    <xf numFmtId="0" fontId="0" fillId="2" borderId="102" xfId="0" applyFont="1" applyFill="1" applyBorder="1" applyAlignment="1">
      <alignment horizontal="center" vertical="center"/>
    </xf>
    <xf numFmtId="0" fontId="0" fillId="2" borderId="104" xfId="0" applyFont="1" applyFill="1" applyBorder="1" applyAlignment="1">
      <alignment horizontal="center" vertical="center"/>
    </xf>
    <xf numFmtId="0" fontId="0" fillId="2" borderId="102" xfId="0" applyFill="1" applyBorder="1" applyAlignment="1">
      <alignment horizontal="center" vertical="center"/>
    </xf>
    <xf numFmtId="0" fontId="0" fillId="2" borderId="54" xfId="0" applyFill="1" applyBorder="1" applyAlignment="1">
      <alignment horizontal="center" vertical="center"/>
    </xf>
    <xf numFmtId="0" fontId="0" fillId="0" borderId="55" xfId="0" applyBorder="1">
      <alignment vertical="center"/>
    </xf>
    <xf numFmtId="0" fontId="0" fillId="0" borderId="107" xfId="0" applyBorder="1">
      <alignment vertical="center"/>
    </xf>
    <xf numFmtId="0" fontId="0" fillId="2" borderId="57" xfId="0" applyFill="1" applyBorder="1" applyAlignment="1">
      <alignment horizontal="center" vertical="center"/>
    </xf>
    <xf numFmtId="0" fontId="0" fillId="2" borderId="105" xfId="0" applyFill="1" applyBorder="1" applyAlignment="1">
      <alignment horizontal="center" vertical="center"/>
    </xf>
    <xf numFmtId="0" fontId="0" fillId="2" borderId="58" xfId="0" applyFill="1" applyBorder="1" applyAlignment="1">
      <alignment horizontal="center" vertical="center"/>
    </xf>
    <xf numFmtId="0" fontId="0" fillId="2" borderId="109" xfId="0" applyFill="1" applyBorder="1" applyAlignment="1">
      <alignment horizontal="center" vertical="center"/>
    </xf>
    <xf numFmtId="0" fontId="0" fillId="2" borderId="100" xfId="0" applyFont="1" applyFill="1" applyBorder="1" applyAlignment="1">
      <alignment horizontal="center" vertical="center"/>
    </xf>
    <xf numFmtId="0" fontId="0" fillId="0" borderId="112" xfId="0" applyBorder="1">
      <alignment vertical="center"/>
    </xf>
    <xf numFmtId="0" fontId="0" fillId="0" borderId="60" xfId="0" applyBorder="1">
      <alignment vertical="center"/>
    </xf>
    <xf numFmtId="0" fontId="0" fillId="0" borderId="117" xfId="0" applyBorder="1">
      <alignment vertical="center"/>
    </xf>
    <xf numFmtId="0" fontId="21" fillId="2" borderId="54" xfId="0" applyFont="1" applyFill="1" applyBorder="1" applyAlignment="1">
      <alignment horizontal="center" vertical="center"/>
    </xf>
    <xf numFmtId="0" fontId="0" fillId="0" borderId="61" xfId="0" applyBorder="1">
      <alignment vertical="center"/>
    </xf>
    <xf numFmtId="9" fontId="0" fillId="0" borderId="113" xfId="0" applyNumberFormat="1" applyBorder="1">
      <alignment vertical="center"/>
    </xf>
    <xf numFmtId="0" fontId="21" fillId="0" borderId="92" xfId="0" applyFont="1" applyBorder="1" applyAlignment="1">
      <alignment vertical="center"/>
    </xf>
    <xf numFmtId="2" fontId="2" fillId="4" borderId="94" xfId="0" applyNumberFormat="1" applyFont="1" applyFill="1" applyBorder="1">
      <alignment vertical="center"/>
    </xf>
    <xf numFmtId="0" fontId="3" fillId="0" borderId="24" xfId="0" applyFont="1" applyBorder="1" applyAlignment="1">
      <alignment vertical="center" wrapText="1"/>
    </xf>
    <xf numFmtId="9" fontId="21" fillId="0" borderId="24" xfId="0" applyNumberFormat="1" applyFont="1" applyBorder="1">
      <alignment vertical="center"/>
    </xf>
    <xf numFmtId="0" fontId="0" fillId="0" borderId="19" xfId="0" applyBorder="1" applyAlignment="1">
      <alignment vertical="center"/>
    </xf>
    <xf numFmtId="0" fontId="6" fillId="0" borderId="0" xfId="0" applyFont="1" applyBorder="1" applyAlignment="1">
      <alignment horizontal="center" vertical="center"/>
    </xf>
    <xf numFmtId="0" fontId="6" fillId="0" borderId="0" xfId="0" applyFont="1" applyBorder="1" applyAlignment="1">
      <alignment vertical="center" wrapText="1"/>
    </xf>
    <xf numFmtId="0" fontId="23" fillId="0" borderId="0" xfId="0" applyFont="1" applyAlignment="1">
      <alignment vertical="center"/>
    </xf>
    <xf numFmtId="164" fontId="0" fillId="0" borderId="50" xfId="0" applyNumberFormat="1" applyBorder="1">
      <alignment vertical="center"/>
    </xf>
    <xf numFmtId="0" fontId="6" fillId="0" borderId="122" xfId="0" applyFont="1" applyBorder="1" applyAlignment="1">
      <alignment horizontal="center" vertical="center"/>
    </xf>
    <xf numFmtId="0" fontId="6" fillId="0" borderId="123" xfId="0" applyFont="1" applyBorder="1" applyAlignment="1">
      <alignment vertical="center" wrapText="1"/>
    </xf>
    <xf numFmtId="0" fontId="6" fillId="0" borderId="103" xfId="0" applyFont="1" applyBorder="1" applyAlignment="1">
      <alignment horizontal="center" vertical="center"/>
    </xf>
    <xf numFmtId="0" fontId="6" fillId="0" borderId="88" xfId="0" applyFont="1" applyBorder="1" applyAlignment="1">
      <alignment vertical="center" wrapText="1"/>
    </xf>
    <xf numFmtId="0" fontId="6" fillId="0" borderId="124" xfId="0" applyFont="1" applyBorder="1" applyAlignment="1">
      <alignment horizontal="center" vertical="center"/>
    </xf>
    <xf numFmtId="0" fontId="6" fillId="0" borderId="125" xfId="0" applyFont="1" applyBorder="1" applyAlignment="1">
      <alignment vertical="center" wrapText="1"/>
    </xf>
    <xf numFmtId="0" fontId="24" fillId="2" borderId="53" xfId="0" applyFont="1" applyFill="1" applyBorder="1" applyAlignment="1">
      <alignment horizontal="center" vertical="center"/>
    </xf>
    <xf numFmtId="0" fontId="24" fillId="2" borderId="102" xfId="0" applyFont="1" applyFill="1" applyBorder="1" applyAlignment="1">
      <alignment horizontal="center" vertical="center"/>
    </xf>
    <xf numFmtId="0" fontId="24" fillId="2" borderId="54" xfId="0" applyFont="1" applyFill="1" applyBorder="1" applyAlignment="1">
      <alignment horizontal="center" vertical="center"/>
    </xf>
    <xf numFmtId="0" fontId="24" fillId="2" borderId="108" xfId="0" applyFont="1" applyFill="1" applyBorder="1" applyAlignment="1">
      <alignment horizontal="center" vertical="center"/>
    </xf>
    <xf numFmtId="0" fontId="24" fillId="2" borderId="100" xfId="0" applyFont="1" applyFill="1" applyBorder="1" applyAlignment="1">
      <alignment horizontal="center" vertical="center"/>
    </xf>
    <xf numFmtId="0" fontId="24" fillId="2" borderId="109" xfId="0" applyFont="1" applyFill="1" applyBorder="1" applyAlignment="1">
      <alignment horizontal="center" vertical="center"/>
    </xf>
    <xf numFmtId="0" fontId="24" fillId="0" borderId="60" xfId="0" applyFont="1" applyBorder="1" applyAlignment="1">
      <alignment vertical="center"/>
    </xf>
    <xf numFmtId="0" fontId="24" fillId="0" borderId="61" xfId="0" applyFont="1" applyBorder="1" applyAlignment="1">
      <alignment vertical="center"/>
    </xf>
    <xf numFmtId="0" fontId="24" fillId="0" borderId="62" xfId="0" applyFont="1" applyBorder="1" applyAlignment="1">
      <alignment vertical="center"/>
    </xf>
    <xf numFmtId="0" fontId="25" fillId="0" borderId="0" xfId="0" applyFont="1" applyAlignment="1">
      <alignment vertical="center"/>
    </xf>
    <xf numFmtId="0" fontId="0" fillId="0" borderId="5" xfId="0" applyFont="1" applyFill="1" applyBorder="1">
      <alignment vertical="center"/>
    </xf>
    <xf numFmtId="0" fontId="6" fillId="0" borderId="0" xfId="0" applyFont="1" applyAlignment="1"/>
    <xf numFmtId="0" fontId="28" fillId="11" borderId="115" xfId="0" applyFont="1" applyFill="1" applyBorder="1" applyAlignment="1"/>
    <xf numFmtId="0" fontId="28" fillId="11" borderId="116" xfId="0" applyFont="1" applyFill="1" applyBorder="1" applyAlignment="1"/>
    <xf numFmtId="0" fontId="28" fillId="11" borderId="117" xfId="0" applyFont="1" applyFill="1" applyBorder="1" applyAlignment="1"/>
    <xf numFmtId="0" fontId="6" fillId="8" borderId="127" xfId="0" applyFont="1" applyFill="1" applyBorder="1" applyAlignment="1">
      <alignment vertical="center"/>
    </xf>
    <xf numFmtId="0" fontId="6" fillId="8" borderId="131" xfId="0" applyFont="1" applyFill="1" applyBorder="1" applyAlignment="1">
      <alignment vertical="center"/>
    </xf>
    <xf numFmtId="0" fontId="6" fillId="12" borderId="127" xfId="0" applyFont="1" applyFill="1" applyBorder="1" applyAlignment="1">
      <alignment vertical="center"/>
    </xf>
    <xf numFmtId="0" fontId="6" fillId="12" borderId="131" xfId="0" applyFont="1" applyFill="1" applyBorder="1" applyAlignment="1">
      <alignment vertical="center"/>
    </xf>
    <xf numFmtId="0" fontId="6" fillId="12" borderId="98" xfId="0" applyFont="1" applyFill="1" applyBorder="1" applyAlignment="1">
      <alignment vertical="center"/>
    </xf>
    <xf numFmtId="0" fontId="6" fillId="8" borderId="83" xfId="0" applyFont="1" applyFill="1" applyBorder="1" applyAlignment="1">
      <alignment vertical="center"/>
    </xf>
    <xf numFmtId="0" fontId="6" fillId="12" borderId="83" xfId="0" applyFont="1" applyFill="1" applyBorder="1" applyAlignment="1">
      <alignment vertical="center"/>
    </xf>
    <xf numFmtId="0" fontId="7" fillId="0" borderId="122" xfId="0" applyFont="1" applyBorder="1" applyAlignment="1">
      <alignment horizontal="center" vertical="center"/>
    </xf>
    <xf numFmtId="0" fontId="7" fillId="0" borderId="103" xfId="0" applyFont="1" applyBorder="1" applyAlignment="1">
      <alignment horizontal="center" vertical="center"/>
    </xf>
    <xf numFmtId="0" fontId="7" fillId="0" borderId="124" xfId="0" applyFont="1" applyBorder="1" applyAlignment="1">
      <alignment horizontal="center" vertical="center"/>
    </xf>
    <xf numFmtId="0" fontId="29" fillId="0" borderId="0" xfId="0" applyFont="1" applyAlignment="1"/>
    <xf numFmtId="0" fontId="30" fillId="0" borderId="0" xfId="0" applyFont="1" applyAlignment="1"/>
    <xf numFmtId="0" fontId="31" fillId="0" borderId="0" xfId="0" applyFont="1" applyAlignment="1"/>
    <xf numFmtId="0" fontId="32" fillId="0" borderId="0" xfId="0" applyFont="1" applyAlignment="1"/>
    <xf numFmtId="0" fontId="30" fillId="0" borderId="0" xfId="0" applyFont="1" applyAlignment="1">
      <alignment horizontal="right"/>
    </xf>
    <xf numFmtId="0" fontId="34" fillId="16" borderId="83" xfId="0" applyFont="1" applyFill="1" applyBorder="1" applyAlignment="1"/>
    <xf numFmtId="0" fontId="35" fillId="0" borderId="0" xfId="0" applyFont="1">
      <alignment vertical="center"/>
    </xf>
    <xf numFmtId="0" fontId="35" fillId="0" borderId="0" xfId="0" applyFont="1" applyBorder="1">
      <alignment vertical="center"/>
    </xf>
    <xf numFmtId="0" fontId="35" fillId="0" borderId="83" xfId="0" applyFont="1" applyBorder="1">
      <alignment vertical="center"/>
    </xf>
    <xf numFmtId="0" fontId="35" fillId="0" borderId="0" xfId="0" applyFont="1" applyBorder="1" applyAlignment="1">
      <alignment horizontal="right" vertical="center" wrapText="1"/>
    </xf>
    <xf numFmtId="0" fontId="26" fillId="0" borderId="0" xfId="0" applyFont="1" applyBorder="1">
      <alignment vertical="center"/>
    </xf>
    <xf numFmtId="0" fontId="35" fillId="0" borderId="49" xfId="0" applyFont="1" applyBorder="1">
      <alignment vertical="center"/>
    </xf>
    <xf numFmtId="0" fontId="26" fillId="0" borderId="0" xfId="0" applyFont="1">
      <alignment vertical="center"/>
    </xf>
    <xf numFmtId="0" fontId="35" fillId="0" borderId="0" xfId="0" applyFont="1" applyAlignment="1">
      <alignment horizontal="right" vertical="center" wrapText="1"/>
    </xf>
    <xf numFmtId="0" fontId="33" fillId="0" borderId="83" xfId="0" applyFont="1" applyBorder="1" applyAlignment="1">
      <alignment horizontal="center"/>
    </xf>
    <xf numFmtId="0" fontId="33" fillId="0" borderId="83" xfId="0" applyFont="1" applyBorder="1" applyAlignment="1"/>
    <xf numFmtId="0" fontId="34" fillId="17" borderId="83" xfId="0" applyFont="1" applyFill="1" applyBorder="1" applyAlignment="1"/>
    <xf numFmtId="0" fontId="34" fillId="15" borderId="83" xfId="0" applyFont="1" applyFill="1" applyBorder="1" applyAlignment="1"/>
    <xf numFmtId="0" fontId="34" fillId="14" borderId="83" xfId="0" applyFont="1" applyFill="1" applyBorder="1" applyAlignment="1"/>
    <xf numFmtId="0" fontId="34" fillId="13" borderId="83" xfId="0" applyFont="1" applyFill="1" applyBorder="1" applyAlignment="1"/>
    <xf numFmtId="165" fontId="35" fillId="0" borderId="0" xfId="0" applyNumberFormat="1" applyFont="1" applyBorder="1">
      <alignment vertical="center"/>
    </xf>
    <xf numFmtId="0" fontId="35" fillId="18" borderId="83" xfId="0" applyFont="1" applyFill="1" applyBorder="1">
      <alignment vertical="center"/>
    </xf>
    <xf numFmtId="166" fontId="35" fillId="18" borderId="83" xfId="0" applyNumberFormat="1" applyFont="1" applyFill="1" applyBorder="1">
      <alignment vertical="center"/>
    </xf>
    <xf numFmtId="0" fontId="35" fillId="19" borderId="83" xfId="0" applyFont="1" applyFill="1" applyBorder="1">
      <alignment vertical="center"/>
    </xf>
    <xf numFmtId="0" fontId="26" fillId="0" borderId="138" xfId="0" applyFont="1" applyBorder="1">
      <alignment vertical="center"/>
    </xf>
    <xf numFmtId="0" fontId="35" fillId="0" borderId="139" xfId="0" applyFont="1" applyBorder="1">
      <alignment vertical="center"/>
    </xf>
    <xf numFmtId="0" fontId="35" fillId="0" borderId="140" xfId="0" applyFont="1" applyBorder="1">
      <alignment vertical="center"/>
    </xf>
    <xf numFmtId="0" fontId="35" fillId="0" borderId="141" xfId="0" applyFont="1" applyBorder="1">
      <alignment vertical="center"/>
    </xf>
    <xf numFmtId="0" fontId="35" fillId="0" borderId="137" xfId="0" applyFont="1" applyBorder="1">
      <alignment vertical="center"/>
    </xf>
    <xf numFmtId="0" fontId="35" fillId="0" borderId="142" xfId="0" applyFont="1" applyBorder="1">
      <alignment vertical="center"/>
    </xf>
    <xf numFmtId="0" fontId="35" fillId="0" borderId="143" xfId="0" applyFont="1" applyBorder="1">
      <alignment vertical="center"/>
    </xf>
    <xf numFmtId="0" fontId="35" fillId="0" borderId="144" xfId="0" applyFont="1" applyBorder="1">
      <alignment vertical="center"/>
    </xf>
    <xf numFmtId="0" fontId="35" fillId="0" borderId="0" xfId="0" applyFont="1" applyBorder="1" applyAlignment="1">
      <alignment horizontal="left" vertical="center"/>
    </xf>
    <xf numFmtId="0" fontId="35" fillId="19" borderId="146" xfId="0" applyFont="1" applyFill="1" applyBorder="1" applyAlignment="1">
      <alignment vertical="center"/>
    </xf>
    <xf numFmtId="0" fontId="35" fillId="19" borderId="83" xfId="0" applyFont="1" applyFill="1" applyBorder="1" applyAlignment="1">
      <alignment horizontal="right" vertical="center"/>
    </xf>
    <xf numFmtId="0" fontId="35" fillId="19" borderId="147" xfId="0" applyFont="1" applyFill="1" applyBorder="1" applyAlignment="1">
      <alignment vertical="center"/>
    </xf>
    <xf numFmtId="0" fontId="35" fillId="19" borderId="131" xfId="0" applyFont="1" applyFill="1" applyBorder="1" applyAlignment="1">
      <alignment horizontal="right" vertical="center"/>
    </xf>
    <xf numFmtId="0" fontId="2" fillId="19" borderId="52" xfId="0" applyFont="1" applyFill="1" applyBorder="1">
      <alignment vertical="center"/>
    </xf>
    <xf numFmtId="0" fontId="2" fillId="19" borderId="52" xfId="0" applyFont="1" applyFill="1" applyBorder="1" applyAlignment="1">
      <alignment horizontal="center" vertical="center"/>
    </xf>
    <xf numFmtId="0" fontId="37" fillId="20" borderId="0" xfId="0" applyFont="1" applyFill="1" applyBorder="1" applyAlignment="1">
      <alignment vertical="center"/>
    </xf>
    <xf numFmtId="0" fontId="36" fillId="20" borderId="0" xfId="0" applyFont="1" applyFill="1" applyBorder="1" applyAlignment="1">
      <alignment horizontal="center" vertical="center"/>
    </xf>
    <xf numFmtId="0" fontId="35" fillId="11" borderId="145" xfId="0" applyFont="1" applyFill="1" applyBorder="1">
      <alignment vertical="center"/>
    </xf>
    <xf numFmtId="0" fontId="35" fillId="21" borderId="83" xfId="0" applyFont="1" applyFill="1" applyBorder="1">
      <alignment vertical="center"/>
    </xf>
    <xf numFmtId="0" fontId="35" fillId="21" borderId="83" xfId="0" applyFont="1" applyFill="1" applyBorder="1" applyAlignment="1">
      <alignment horizontal="right" vertical="center"/>
    </xf>
    <xf numFmtId="0" fontId="16" fillId="22" borderId="0" xfId="0" applyFont="1" applyFill="1" applyAlignment="1">
      <alignment vertical="center"/>
    </xf>
    <xf numFmtId="0" fontId="6" fillId="22" borderId="0" xfId="0" applyFont="1" applyFill="1" applyAlignment="1">
      <alignment horizontal="center" vertical="center"/>
    </xf>
    <xf numFmtId="0" fontId="6" fillId="22" borderId="0" xfId="0" applyFont="1" applyFill="1" applyAlignment="1">
      <alignment vertical="center" wrapText="1"/>
    </xf>
    <xf numFmtId="0" fontId="6" fillId="0" borderId="0" xfId="0" applyFont="1" applyAlignment="1">
      <alignment vertical="center"/>
    </xf>
    <xf numFmtId="0" fontId="6" fillId="0" borderId="0" xfId="0" applyFont="1">
      <alignment vertical="center"/>
    </xf>
    <xf numFmtId="0" fontId="6" fillId="0" borderId="0" xfId="0" applyFont="1" applyBorder="1" applyAlignment="1">
      <alignment horizontal="left" vertical="center"/>
    </xf>
    <xf numFmtId="0" fontId="39" fillId="0" borderId="79" xfId="0" applyFont="1" applyBorder="1" applyAlignment="1">
      <alignment vertical="center" wrapText="1"/>
    </xf>
    <xf numFmtId="0" fontId="39" fillId="0" borderId="80" xfId="0" applyFont="1" applyBorder="1" applyAlignment="1">
      <alignment vertical="center" wrapText="1"/>
    </xf>
    <xf numFmtId="0" fontId="39" fillId="0" borderId="82" xfId="0" applyFont="1" applyBorder="1" applyAlignment="1">
      <alignment vertical="center" wrapText="1"/>
    </xf>
    <xf numFmtId="0" fontId="6" fillId="8" borderId="111" xfId="0" applyFont="1" applyFill="1" applyBorder="1" applyAlignment="1">
      <alignment vertical="center"/>
    </xf>
    <xf numFmtId="0" fontId="6" fillId="22" borderId="131" xfId="0" applyFont="1" applyFill="1" applyBorder="1" applyAlignment="1">
      <alignment vertical="center"/>
    </xf>
    <xf numFmtId="0" fontId="7" fillId="0" borderId="106" xfId="0" applyFont="1" applyBorder="1" applyAlignment="1">
      <alignment horizontal="center" vertical="center"/>
    </xf>
    <xf numFmtId="0" fontId="6" fillId="8" borderId="98" xfId="0" applyFont="1" applyFill="1" applyBorder="1" applyAlignment="1">
      <alignment vertical="center"/>
    </xf>
    <xf numFmtId="0" fontId="7" fillId="0" borderId="110" xfId="0" applyFont="1" applyBorder="1" applyAlignment="1">
      <alignment horizontal="center" vertical="center"/>
    </xf>
    <xf numFmtId="0" fontId="0" fillId="0" borderId="19" xfId="0" applyBorder="1" applyAlignment="1">
      <alignment vertical="center"/>
    </xf>
    <xf numFmtId="0" fontId="0" fillId="2" borderId="99" xfId="0" applyFont="1" applyFill="1" applyBorder="1" applyAlignment="1">
      <alignment horizontal="center" vertical="center"/>
    </xf>
    <xf numFmtId="0" fontId="0" fillId="2" borderId="100" xfId="0" applyFont="1" applyFill="1" applyBorder="1" applyAlignment="1">
      <alignment horizontal="center" vertical="center"/>
    </xf>
    <xf numFmtId="167" fontId="0" fillId="0" borderId="1" xfId="0" applyNumberFormat="1" applyBorder="1">
      <alignment vertical="center"/>
    </xf>
    <xf numFmtId="167" fontId="0" fillId="0" borderId="27" xfId="0" applyNumberFormat="1" applyBorder="1">
      <alignment vertical="center"/>
    </xf>
    <xf numFmtId="167" fontId="0" fillId="0" borderId="31" xfId="0" applyNumberFormat="1" applyBorder="1">
      <alignment vertical="center"/>
    </xf>
    <xf numFmtId="167" fontId="0" fillId="0" borderId="23" xfId="0" applyNumberFormat="1" applyBorder="1">
      <alignment vertical="center"/>
    </xf>
    <xf numFmtId="167" fontId="0" fillId="4" borderId="30" xfId="0" applyNumberFormat="1" applyFill="1" applyBorder="1">
      <alignment vertical="center"/>
    </xf>
    <xf numFmtId="167" fontId="0" fillId="4" borderId="28" xfId="0" applyNumberFormat="1" applyFill="1" applyBorder="1">
      <alignment vertical="center"/>
    </xf>
    <xf numFmtId="167" fontId="0" fillId="4" borderId="32" xfId="0" applyNumberFormat="1" applyFill="1" applyBorder="1">
      <alignment vertical="center"/>
    </xf>
    <xf numFmtId="167" fontId="0" fillId="4" borderId="27" xfId="0" applyNumberFormat="1" applyFill="1" applyBorder="1">
      <alignment vertical="center"/>
    </xf>
    <xf numFmtId="167" fontId="0" fillId="0" borderId="25" xfId="0" applyNumberFormat="1" applyBorder="1">
      <alignment vertical="center"/>
    </xf>
    <xf numFmtId="167" fontId="0" fillId="0" borderId="29" xfId="0" applyNumberFormat="1" applyBorder="1">
      <alignment vertical="center"/>
    </xf>
    <xf numFmtId="167" fontId="2" fillId="4" borderId="113" xfId="0" applyNumberFormat="1" applyFont="1" applyFill="1" applyBorder="1">
      <alignment vertical="center"/>
    </xf>
    <xf numFmtId="9" fontId="0" fillId="0" borderId="24" xfId="0" applyNumberFormat="1" applyFont="1" applyBorder="1">
      <alignment vertical="center"/>
    </xf>
    <xf numFmtId="168" fontId="4" fillId="0" borderId="39" xfId="0" applyNumberFormat="1" applyFont="1" applyBorder="1">
      <alignment vertical="center"/>
    </xf>
    <xf numFmtId="168" fontId="4" fillId="0" borderId="42" xfId="0" applyNumberFormat="1" applyFont="1" applyBorder="1">
      <alignment vertical="center"/>
    </xf>
    <xf numFmtId="168" fontId="4" fillId="0" borderId="45" xfId="0" applyNumberFormat="1" applyFont="1" applyBorder="1">
      <alignment vertical="center"/>
    </xf>
    <xf numFmtId="0" fontId="36" fillId="20" borderId="0" xfId="0" applyFont="1" applyFill="1" applyBorder="1" applyAlignment="1">
      <alignment horizontal="center" vertical="center"/>
    </xf>
    <xf numFmtId="0" fontId="2" fillId="2" borderId="150" xfId="0" applyFont="1" applyFill="1" applyBorder="1" applyAlignment="1">
      <alignment horizontal="left" vertical="center"/>
    </xf>
    <xf numFmtId="0" fontId="2" fillId="2" borderId="151" xfId="0" applyFont="1" applyFill="1" applyBorder="1" applyAlignment="1">
      <alignment horizontal="left" vertical="center"/>
    </xf>
    <xf numFmtId="0" fontId="2" fillId="2" borderId="152" xfId="0" applyFont="1" applyFill="1" applyBorder="1" applyAlignment="1">
      <alignment horizontal="left" vertical="center"/>
    </xf>
    <xf numFmtId="0" fontId="35" fillId="0" borderId="153" xfId="0" applyFont="1" applyBorder="1" applyAlignment="1">
      <alignment horizontal="center" vertical="center"/>
    </xf>
    <xf numFmtId="0" fontId="35" fillId="0" borderId="155" xfId="0" applyFont="1" applyBorder="1" applyAlignment="1">
      <alignment horizontal="center" vertical="center"/>
    </xf>
    <xf numFmtId="15" fontId="35" fillId="0" borderId="148" xfId="0" applyNumberFormat="1" applyFont="1" applyBorder="1" applyAlignment="1">
      <alignment horizontal="center" vertical="center"/>
    </xf>
    <xf numFmtId="15" fontId="35" fillId="0" borderId="149" xfId="0" applyNumberFormat="1" applyFont="1" applyBorder="1" applyAlignment="1">
      <alignment horizontal="center" vertical="center"/>
    </xf>
    <xf numFmtId="0" fontId="35" fillId="0" borderId="0" xfId="0" applyFont="1" applyBorder="1" applyAlignment="1">
      <alignment horizontal="left" vertical="center"/>
    </xf>
    <xf numFmtId="0" fontId="35" fillId="0" borderId="124" xfId="0" applyFont="1" applyBorder="1" applyAlignment="1">
      <alignment horizontal="left" vertical="center"/>
    </xf>
    <xf numFmtId="0" fontId="35" fillId="0" borderId="131" xfId="0" applyFont="1" applyBorder="1" applyAlignment="1">
      <alignment horizontal="left" vertical="center"/>
    </xf>
    <xf numFmtId="0" fontId="35" fillId="0" borderId="125" xfId="0" applyFont="1" applyBorder="1" applyAlignment="1">
      <alignment horizontal="left" vertical="center"/>
    </xf>
    <xf numFmtId="0" fontId="35" fillId="19" borderId="103" xfId="0" applyFont="1" applyFill="1" applyBorder="1" applyAlignment="1">
      <alignment horizontal="left" vertical="center"/>
    </xf>
    <xf numFmtId="0" fontId="35" fillId="19" borderId="83" xfId="0" applyFont="1" applyFill="1" applyBorder="1" applyAlignment="1">
      <alignment horizontal="left" vertical="center"/>
    </xf>
    <xf numFmtId="0" fontId="2" fillId="2" borderId="122" xfId="0" applyFont="1" applyFill="1" applyBorder="1" applyAlignment="1">
      <alignment horizontal="left" vertical="center"/>
    </xf>
    <xf numFmtId="0" fontId="2" fillId="2" borderId="127" xfId="0" applyFont="1" applyFill="1" applyBorder="1" applyAlignment="1">
      <alignment horizontal="left" vertical="center"/>
    </xf>
    <xf numFmtId="0" fontId="2" fillId="2" borderId="123" xfId="0" applyFont="1" applyFill="1" applyBorder="1" applyAlignment="1">
      <alignment horizontal="left" vertical="center"/>
    </xf>
    <xf numFmtId="0" fontId="35" fillId="0" borderId="103" xfId="0" applyFont="1" applyBorder="1" applyAlignment="1">
      <alignment horizontal="left" vertical="center"/>
    </xf>
    <xf numFmtId="0" fontId="35" fillId="0" borderId="83" xfId="0" applyFont="1" applyBorder="1" applyAlignment="1">
      <alignment horizontal="left" vertical="center"/>
    </xf>
    <xf numFmtId="0" fontId="35" fillId="0" borderId="88" xfId="0" applyFont="1" applyBorder="1" applyAlignment="1">
      <alignment horizontal="left" vertical="center"/>
    </xf>
    <xf numFmtId="15" fontId="35" fillId="0" borderId="153" xfId="0" applyNumberFormat="1" applyFont="1" applyBorder="1" applyAlignment="1">
      <alignment horizontal="center" vertical="center"/>
    </xf>
    <xf numFmtId="15" fontId="35" fillId="0" borderId="155" xfId="0" applyNumberFormat="1" applyFont="1" applyBorder="1" applyAlignment="1">
      <alignment horizontal="center" vertical="center"/>
    </xf>
    <xf numFmtId="166" fontId="35" fillId="18" borderId="83" xfId="0" applyNumberFormat="1" applyFont="1" applyFill="1" applyBorder="1" applyAlignment="1">
      <alignment horizontal="center" vertical="center"/>
    </xf>
    <xf numFmtId="0" fontId="35" fillId="0" borderId="153" xfId="0" applyFont="1" applyBorder="1" applyAlignment="1">
      <alignment horizontal="left" vertical="center"/>
    </xf>
    <xf numFmtId="0" fontId="35" fillId="0" borderId="154" xfId="0" applyFont="1" applyBorder="1" applyAlignment="1">
      <alignment horizontal="left" vertical="center"/>
    </xf>
    <xf numFmtId="0" fontId="35" fillId="0" borderId="156" xfId="0" applyFont="1" applyBorder="1" applyAlignment="1">
      <alignment horizontal="left" vertical="center"/>
    </xf>
    <xf numFmtId="0" fontId="35" fillId="0" borderId="154" xfId="0" applyFont="1" applyBorder="1" applyAlignment="1">
      <alignment horizontal="center" vertical="center"/>
    </xf>
    <xf numFmtId="0" fontId="35" fillId="0" borderId="156" xfId="0" applyFont="1" applyBorder="1" applyAlignment="1">
      <alignment horizontal="center" vertical="center"/>
    </xf>
    <xf numFmtId="0" fontId="0" fillId="2" borderId="99" xfId="0" applyFont="1" applyFill="1" applyBorder="1" applyAlignment="1">
      <alignment horizontal="center" vertical="center"/>
    </xf>
    <xf numFmtId="0" fontId="0" fillId="2" borderId="100" xfId="0" applyFont="1" applyFill="1" applyBorder="1" applyAlignment="1">
      <alignment horizontal="center" vertical="center"/>
    </xf>
    <xf numFmtId="0" fontId="0" fillId="2" borderId="121" xfId="0" applyFont="1" applyFill="1" applyBorder="1" applyAlignment="1">
      <alignment horizontal="center" vertical="center"/>
    </xf>
    <xf numFmtId="0" fontId="3" fillId="0" borderId="36" xfId="0" applyFont="1" applyBorder="1" applyAlignment="1">
      <alignment vertical="center"/>
    </xf>
    <xf numFmtId="0" fontId="3" fillId="0" borderId="38" xfId="0" applyFont="1" applyBorder="1" applyAlignment="1">
      <alignment vertical="center"/>
    </xf>
    <xf numFmtId="0" fontId="3" fillId="0" borderId="39" xfId="0" applyFont="1" applyBorder="1" applyAlignment="1">
      <alignment vertical="center"/>
    </xf>
    <xf numFmtId="0" fontId="3" fillId="0" borderId="17" xfId="0" applyFont="1" applyBorder="1" applyAlignment="1">
      <alignment vertical="center"/>
    </xf>
    <xf numFmtId="0" fontId="3" fillId="0" borderId="0" xfId="0" applyFont="1" applyBorder="1" applyAlignment="1">
      <alignment vertical="center"/>
    </xf>
    <xf numFmtId="0" fontId="3" fillId="0" borderId="42" xfId="0" applyFont="1" applyBorder="1" applyAlignment="1">
      <alignment vertical="center"/>
    </xf>
    <xf numFmtId="0" fontId="3" fillId="0" borderId="14" xfId="0" applyFont="1" applyBorder="1" applyAlignment="1">
      <alignment vertical="center"/>
    </xf>
    <xf numFmtId="0" fontId="3" fillId="0" borderId="43" xfId="0" applyFont="1" applyBorder="1" applyAlignment="1">
      <alignment vertical="center"/>
    </xf>
    <xf numFmtId="0" fontId="3" fillId="0" borderId="44" xfId="0" applyFont="1" applyBorder="1" applyAlignment="1">
      <alignment vertical="center"/>
    </xf>
    <xf numFmtId="0" fontId="3" fillId="0" borderId="18" xfId="0" applyFont="1" applyBorder="1" applyAlignment="1">
      <alignment horizontal="left" vertical="center" wrapText="1"/>
    </xf>
    <xf numFmtId="0" fontId="3" fillId="0" borderId="22" xfId="0" applyFont="1" applyBorder="1" applyAlignment="1">
      <alignment horizontal="left" vertical="center" wrapText="1"/>
    </xf>
    <xf numFmtId="0" fontId="3" fillId="0" borderId="24" xfId="0" applyFont="1" applyBorder="1" applyAlignment="1">
      <alignment horizontal="left" vertical="center" wrapText="1"/>
    </xf>
    <xf numFmtId="0" fontId="0" fillId="0" borderId="86" xfId="0" applyBorder="1" applyAlignment="1">
      <alignment horizontal="center" vertical="center"/>
    </xf>
    <xf numFmtId="0" fontId="0" fillId="0" borderId="85" xfId="0" applyBorder="1" applyAlignment="1">
      <alignment horizontal="center" vertical="center"/>
    </xf>
    <xf numFmtId="0" fontId="0" fillId="0" borderId="120"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19" xfId="0" applyBorder="1" applyAlignment="1">
      <alignment horizontal="center" vertical="center"/>
    </xf>
    <xf numFmtId="0" fontId="21" fillId="0" borderId="113" xfId="0" applyFont="1" applyBorder="1" applyAlignment="1">
      <alignment vertical="center"/>
    </xf>
    <xf numFmtId="0" fontId="21" fillId="0" borderId="114" xfId="0" applyFont="1" applyBorder="1" applyAlignment="1">
      <alignment vertical="center"/>
    </xf>
    <xf numFmtId="0" fontId="0" fillId="0" borderId="115" xfId="0" applyBorder="1" applyAlignment="1">
      <alignment horizontal="center" vertical="center"/>
    </xf>
    <xf numFmtId="0" fontId="0" fillId="0" borderId="116" xfId="0" applyBorder="1" applyAlignment="1">
      <alignment horizontal="center" vertical="center"/>
    </xf>
    <xf numFmtId="0" fontId="0" fillId="0" borderId="16" xfId="0" applyBorder="1" applyAlignment="1">
      <alignment horizontal="center" vertical="center"/>
    </xf>
    <xf numFmtId="0" fontId="0" fillId="0" borderId="35" xfId="0" applyBorder="1" applyAlignment="1">
      <alignment horizontal="center" vertical="center"/>
    </xf>
    <xf numFmtId="0" fontId="0" fillId="0" borderId="118" xfId="0" applyBorder="1" applyAlignment="1">
      <alignment horizontal="center" vertical="center"/>
    </xf>
    <xf numFmtId="0" fontId="3" fillId="0" borderId="19" xfId="0" applyFont="1" applyBorder="1" applyAlignment="1">
      <alignment vertical="center" wrapText="1"/>
    </xf>
    <xf numFmtId="0" fontId="3" fillId="0" borderId="20" xfId="0" applyFont="1" applyBorder="1" applyAlignment="1">
      <alignment vertical="center" wrapText="1"/>
    </xf>
    <xf numFmtId="0" fontId="27" fillId="0" borderId="53" xfId="0" applyFont="1" applyBorder="1" applyAlignment="1">
      <alignment horizontal="center" vertical="center"/>
    </xf>
    <xf numFmtId="0" fontId="27" fillId="0" borderId="102" xfId="0" applyFont="1" applyBorder="1" applyAlignment="1">
      <alignment horizontal="center" vertical="center"/>
    </xf>
    <xf numFmtId="0" fontId="27" fillId="0" borderId="54" xfId="0" applyFont="1" applyBorder="1" applyAlignment="1">
      <alignment horizontal="center" vertical="center"/>
    </xf>
    <xf numFmtId="0" fontId="27" fillId="0" borderId="55" xfId="0" applyFont="1" applyBorder="1" applyAlignment="1">
      <alignment horizontal="center" vertical="center"/>
    </xf>
    <xf numFmtId="0" fontId="27" fillId="0" borderId="0" xfId="0" applyFont="1" applyBorder="1" applyAlignment="1">
      <alignment horizontal="center" vertical="center"/>
    </xf>
    <xf numFmtId="0" fontId="27" fillId="0" borderId="56" xfId="0" applyFont="1" applyBorder="1" applyAlignment="1">
      <alignment horizontal="center" vertical="center"/>
    </xf>
    <xf numFmtId="0" fontId="0" fillId="0" borderId="106"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83" xfId="0" applyBorder="1" applyAlignment="1">
      <alignment horizontal="center" vertical="center"/>
    </xf>
    <xf numFmtId="0" fontId="0" fillId="0" borderId="19" xfId="0" applyBorder="1" applyAlignment="1">
      <alignment vertical="center"/>
    </xf>
    <xf numFmtId="0" fontId="0" fillId="0" borderId="20" xfId="0" applyBorder="1" applyAlignment="1">
      <alignment vertical="center"/>
    </xf>
    <xf numFmtId="0" fontId="0" fillId="0" borderId="110" xfId="0" applyBorder="1" applyAlignment="1">
      <alignment horizontal="center" vertical="center"/>
    </xf>
    <xf numFmtId="0" fontId="0" fillId="0" borderId="111" xfId="0" applyBorder="1" applyAlignment="1">
      <alignment horizontal="center" vertical="center"/>
    </xf>
    <xf numFmtId="0" fontId="6" fillId="0" borderId="60" xfId="0" applyFont="1" applyBorder="1" applyAlignment="1">
      <alignment horizontal="left" vertical="center" wrapText="1"/>
    </xf>
    <xf numFmtId="0" fontId="6" fillId="0" borderId="61" xfId="0" applyFont="1" applyBorder="1" applyAlignment="1">
      <alignment horizontal="left" vertical="center" wrapText="1"/>
    </xf>
    <xf numFmtId="0" fontId="6" fillId="0" borderId="62" xfId="0" applyFont="1" applyBorder="1" applyAlignment="1">
      <alignment horizontal="left" vertical="center" wrapText="1"/>
    </xf>
    <xf numFmtId="0" fontId="7" fillId="5" borderId="78" xfId="0" applyFont="1" applyFill="1" applyBorder="1" applyAlignment="1">
      <alignment horizontal="left" vertical="center" wrapText="1"/>
    </xf>
    <xf numFmtId="0" fontId="7" fillId="5" borderId="74" xfId="0" applyFont="1" applyFill="1" applyBorder="1" applyAlignment="1">
      <alignment horizontal="left" vertical="center" wrapText="1"/>
    </xf>
    <xf numFmtId="0" fontId="7" fillId="5" borderId="69" xfId="0" applyFont="1" applyFill="1" applyBorder="1" applyAlignment="1">
      <alignment horizontal="left" vertical="center" wrapText="1"/>
    </xf>
    <xf numFmtId="0" fontId="6" fillId="0" borderId="77" xfId="0" applyFont="1" applyBorder="1" applyAlignment="1">
      <alignment horizontal="left" vertical="center" wrapText="1"/>
    </xf>
    <xf numFmtId="0" fontId="6" fillId="0" borderId="75" xfId="0" applyFont="1" applyBorder="1" applyAlignment="1">
      <alignment horizontal="left" vertical="center" wrapText="1"/>
    </xf>
    <xf numFmtId="0" fontId="6" fillId="0" borderId="76" xfId="0" applyFont="1" applyBorder="1" applyAlignment="1">
      <alignment horizontal="left" vertical="center" wrapText="1"/>
    </xf>
    <xf numFmtId="0" fontId="7" fillId="0" borderId="126" xfId="0" applyFont="1" applyBorder="1" applyAlignment="1">
      <alignment horizontal="center" vertical="center"/>
    </xf>
    <xf numFmtId="0" fontId="7" fillId="0" borderId="130" xfId="0" applyFont="1" applyBorder="1" applyAlignment="1">
      <alignment horizontal="center" vertical="center"/>
    </xf>
    <xf numFmtId="0" fontId="6" fillId="0" borderId="128" xfId="0" applyFont="1" applyBorder="1" applyAlignment="1">
      <alignment horizontal="left" vertical="center" wrapText="1"/>
    </xf>
    <xf numFmtId="0" fontId="6" fillId="0" borderId="132" xfId="0" applyFont="1" applyBorder="1" applyAlignment="1">
      <alignment horizontal="left" vertical="center" wrapText="1"/>
    </xf>
    <xf numFmtId="0" fontId="6" fillId="0" borderId="129" xfId="0" applyFont="1" applyBorder="1" applyAlignment="1">
      <alignment horizontal="left" wrapText="1"/>
    </xf>
    <xf numFmtId="0" fontId="6" fillId="0" borderId="133" xfId="0" applyFont="1" applyBorder="1" applyAlignment="1">
      <alignment horizontal="left" wrapText="1"/>
    </xf>
    <xf numFmtId="0" fontId="6" fillId="0" borderId="129" xfId="0" applyFont="1" applyBorder="1" applyAlignment="1">
      <alignment horizontal="left" vertical="center" wrapText="1"/>
    </xf>
    <xf numFmtId="0" fontId="6" fillId="0" borderId="133" xfId="0" applyFont="1" applyBorder="1" applyAlignment="1">
      <alignment horizontal="left" vertical="center" wrapText="1"/>
    </xf>
    <xf numFmtId="0" fontId="6" fillId="0" borderId="134" xfId="0" applyFont="1" applyBorder="1" applyAlignment="1">
      <alignment horizontal="left" vertical="center" wrapText="1"/>
    </xf>
    <xf numFmtId="0" fontId="6" fillId="0" borderId="135" xfId="0" applyFont="1" applyBorder="1" applyAlignment="1">
      <alignment horizontal="left" vertical="center" wrapText="1"/>
    </xf>
    <xf numFmtId="0" fontId="6" fillId="0" borderId="107" xfId="0" applyFont="1" applyBorder="1" applyAlignment="1">
      <alignment horizontal="center"/>
    </xf>
    <xf numFmtId="0" fontId="6" fillId="0" borderId="88" xfId="0" applyFont="1" applyBorder="1" applyAlignment="1">
      <alignment horizontal="center"/>
    </xf>
    <xf numFmtId="0" fontId="6" fillId="0" borderId="112" xfId="0" applyFont="1" applyBorder="1" applyAlignment="1">
      <alignment horizontal="center"/>
    </xf>
    <xf numFmtId="0" fontId="6" fillId="0" borderId="125" xfId="0" applyFont="1" applyBorder="1" applyAlignment="1">
      <alignment horizontal="center"/>
    </xf>
    <xf numFmtId="0" fontId="6" fillId="0" borderId="127" xfId="0" applyFont="1" applyBorder="1" applyAlignment="1">
      <alignment horizontal="left" vertical="center" wrapText="1"/>
    </xf>
    <xf numFmtId="0" fontId="6" fillId="0" borderId="83" xfId="0" applyFont="1" applyBorder="1" applyAlignment="1">
      <alignment horizontal="left" vertical="center" wrapText="1"/>
    </xf>
    <xf numFmtId="0" fontId="6" fillId="0" borderId="131" xfId="0" applyFont="1" applyBorder="1" applyAlignment="1">
      <alignment horizontal="left" vertical="center" wrapText="1"/>
    </xf>
    <xf numFmtId="0" fontId="6" fillId="0" borderId="123" xfId="0" applyFont="1" applyBorder="1" applyAlignment="1">
      <alignment horizontal="center"/>
    </xf>
    <xf numFmtId="0" fontId="7" fillId="0" borderId="136" xfId="0" applyFont="1" applyBorder="1" applyAlignment="1">
      <alignment horizontal="center" vertical="center"/>
    </xf>
    <xf numFmtId="0" fontId="6" fillId="0" borderId="135" xfId="0" applyFont="1" applyBorder="1" applyAlignment="1">
      <alignment horizontal="left" wrapText="1"/>
    </xf>
    <xf numFmtId="0" fontId="6" fillId="0" borderId="129" xfId="0" applyFont="1" applyBorder="1" applyAlignment="1">
      <alignment horizontal="center" wrapText="1"/>
    </xf>
    <xf numFmtId="0" fontId="6" fillId="0" borderId="135" xfId="0" applyFont="1" applyBorder="1" applyAlignment="1">
      <alignment horizontal="center" wrapText="1"/>
    </xf>
    <xf numFmtId="0" fontId="6" fillId="0" borderId="133" xfId="0" applyFont="1" applyBorder="1" applyAlignment="1">
      <alignment horizontal="center" wrapText="1"/>
    </xf>
    <xf numFmtId="2" fontId="35" fillId="11" borderId="83" xfId="0" applyNumberFormat="1" applyFont="1" applyFill="1" applyBorder="1" applyAlignment="1">
      <alignment horizontal="right" vertical="center"/>
    </xf>
    <xf numFmtId="2" fontId="35" fillId="11" borderId="83" xfId="0" applyNumberFormat="1" applyFont="1" applyFill="1" applyBorder="1">
      <alignment vertical="center"/>
    </xf>
    <xf numFmtId="2" fontId="35" fillId="18" borderId="83" xfId="0" applyNumberFormat="1" applyFont="1" applyFill="1" applyBorder="1">
      <alignment vertical="center"/>
    </xf>
  </cellXfs>
  <cellStyles count="1">
    <cellStyle name="Normal" xfId="0" builtinId="0"/>
  </cellStyles>
  <dxfs count="3">
    <dxf>
      <fill>
        <patternFill>
          <bgColor theme="5"/>
        </patternFill>
      </fill>
    </dxf>
    <dxf>
      <fill>
        <patternFill>
          <bgColor theme="5"/>
        </patternFill>
      </fill>
    </dxf>
    <dxf>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6E6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FF"/>
      <color rgb="FFB2E4FA"/>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170328</xdr:colOff>
      <xdr:row>1</xdr:row>
      <xdr:rowOff>138445</xdr:rowOff>
    </xdr:from>
    <xdr:to>
      <xdr:col>13</xdr:col>
      <xdr:colOff>1449917</xdr:colOff>
      <xdr:row>40</xdr:row>
      <xdr:rowOff>145677</xdr:rowOff>
    </xdr:to>
    <xdr:sp macro="" textlink="">
      <xdr:nvSpPr>
        <xdr:cNvPr id="2" name="Rectangle 1"/>
        <xdr:cNvSpPr/>
      </xdr:nvSpPr>
      <xdr:spPr>
        <a:xfrm>
          <a:off x="8709210" y="295327"/>
          <a:ext cx="6815295" cy="10955379"/>
        </a:xfrm>
        <a:prstGeom prst="rect">
          <a:avLst/>
        </a:prstGeom>
        <a:solidFill>
          <a:sysClr val="window" lastClr="FFFFFF"/>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r>
            <a:rPr lang="en-US" sz="1000" b="1" baseline="0">
              <a:solidFill>
                <a:srgbClr val="FF0000"/>
              </a:solidFill>
              <a:effectLst/>
              <a:latin typeface="Arial Narrow" panose="020B0606020202030204" pitchFamily="34" charset="0"/>
              <a:ea typeface="+mn-ea"/>
              <a:cs typeface="Courier New" panose="02070309020205020404" pitchFamily="49" charset="0"/>
            </a:rPr>
            <a:t>IMPORTANT NOTICES:</a:t>
          </a:r>
          <a:endParaRPr lang="en-US" sz="1000">
            <a:solidFill>
              <a:srgbClr val="FF0000"/>
            </a:solidFill>
            <a:effectLst/>
            <a:latin typeface="Arial Narrow" panose="020B0606020202030204" pitchFamily="34" charset="0"/>
            <a:cs typeface="Courier New" panose="02070309020205020404" pitchFamily="49" charset="0"/>
          </a:endParaRPr>
        </a:p>
        <a:p>
          <a:endParaRPr lang="en-US" sz="1000" b="1" baseline="0">
            <a:solidFill>
              <a:srgbClr val="FF0000"/>
            </a:solidFill>
            <a:effectLst/>
            <a:latin typeface="Arial Narrow" panose="020B0606020202030204" pitchFamily="34" charset="0"/>
            <a:ea typeface="+mn-ea"/>
            <a:cs typeface="Courier New" panose="02070309020205020404" pitchFamily="49"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b="0" baseline="0">
              <a:solidFill>
                <a:srgbClr val="FF0000"/>
              </a:solidFill>
              <a:effectLst/>
              <a:latin typeface="Arial Narrow" panose="020B0606020202030204" pitchFamily="34" charset="0"/>
              <a:ea typeface="+mn-ea"/>
              <a:cs typeface="Courier New" panose="02070309020205020404" pitchFamily="49" charset="0"/>
            </a:rPr>
            <a:t>This document aims to provide foundation guideline to orient the common manner of setting difficulty of a task for a member at given grade.</a:t>
          </a:r>
          <a:endParaRPr lang="en-US" sz="1000" b="0">
            <a:solidFill>
              <a:srgbClr val="FF0000"/>
            </a:solidFill>
            <a:effectLst/>
            <a:latin typeface="Arial Narrow" panose="020B0606020202030204" pitchFamily="34" charset="0"/>
            <a:cs typeface="Courier New" panose="02070309020205020404" pitchFamily="49" charset="0"/>
          </a:endParaRP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The responsibility at each grade is defined based on the company's basic job description AND the actual work scopes that TSDV members at the same grade in TSDV normally take charge at current  moment .</a:t>
          </a: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This could be subject to be changed through time due to update of job description or average competency of majority of TSDV members.</a:t>
          </a: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For special or exceptional cases, the actual difficulty can be adjusted under mutual discussion &amp; agreement between the Appraisee &amp; the Appraiser.</a:t>
          </a: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Adjustment, however, need to be clarified by comments and not seriously breaking common rules.</a:t>
          </a:r>
        </a:p>
        <a:p>
          <a:endParaRPr lang="en-US" sz="1000" b="1">
            <a:latin typeface="Arial Narrow" panose="020B0606020202030204" pitchFamily="34" charset="0"/>
            <a:cs typeface="Courier New" panose="02070309020205020404" pitchFamily="49" charset="0"/>
          </a:endParaRPr>
        </a:p>
        <a:p>
          <a:r>
            <a:rPr lang="en-US" sz="1000" b="0">
              <a:solidFill>
                <a:srgbClr val="FF0000"/>
              </a:solidFill>
              <a:latin typeface="Arial Narrow" panose="020B0606020202030204" pitchFamily="34" charset="0"/>
              <a:cs typeface="Courier New" panose="02070309020205020404" pitchFamily="49" charset="0"/>
            </a:rPr>
            <a:t>About definition</a:t>
          </a:r>
          <a:r>
            <a:rPr lang="en-US" sz="1000" b="0" baseline="0">
              <a:solidFill>
                <a:srgbClr val="FF0000"/>
              </a:solidFill>
              <a:latin typeface="Arial Narrow" panose="020B0606020202030204" pitchFamily="34" charset="0"/>
              <a:cs typeface="Courier New" panose="02070309020205020404" pitchFamily="49" charset="0"/>
            </a:rPr>
            <a:t> </a:t>
          </a:r>
          <a:r>
            <a:rPr lang="en-US" sz="1000" b="0">
              <a:solidFill>
                <a:srgbClr val="FF0000"/>
              </a:solidFill>
              <a:latin typeface="Arial Narrow" panose="020B0606020202030204" pitchFamily="34" charset="0"/>
              <a:cs typeface="Courier New" panose="02070309020205020404" pitchFamily="49" charset="0"/>
            </a:rPr>
            <a:t>for score</a:t>
          </a:r>
          <a:r>
            <a:rPr lang="en-US" sz="1000" b="0" baseline="0">
              <a:solidFill>
                <a:srgbClr val="FF0000"/>
              </a:solidFill>
              <a:latin typeface="Arial Narrow" panose="020B0606020202030204" pitchFamily="34" charset="0"/>
              <a:cs typeface="Courier New" panose="02070309020205020404" pitchFamily="49" charset="0"/>
            </a:rPr>
            <a:t> (1, 2, 3, 4, 5) of difficulty please refer to section </a:t>
          </a:r>
          <a:r>
            <a:rPr lang="en-US" sz="1000" b="1" baseline="0">
              <a:solidFill>
                <a:srgbClr val="FF0000"/>
              </a:solidFill>
              <a:latin typeface="Arial Narrow" panose="020B0606020202030204" pitchFamily="34" charset="0"/>
              <a:cs typeface="Courier New" panose="02070309020205020404" pitchFamily="49" charset="0"/>
            </a:rPr>
            <a:t>D</a:t>
          </a:r>
          <a:r>
            <a:rPr lang="en-US" sz="1000" b="0" baseline="0">
              <a:solidFill>
                <a:srgbClr val="FF0000"/>
              </a:solidFill>
              <a:latin typeface="Arial Narrow" panose="020B0606020202030204" pitchFamily="34" charset="0"/>
              <a:cs typeface="Courier New" panose="02070309020205020404" pitchFamily="49" charset="0"/>
            </a:rPr>
            <a:t> in sheet "</a:t>
          </a:r>
          <a:r>
            <a:rPr lang="en-US" sz="1000" b="1" baseline="0">
              <a:solidFill>
                <a:srgbClr val="FF0000"/>
              </a:solidFill>
              <a:latin typeface="Arial Narrow" panose="020B0606020202030204" pitchFamily="34" charset="0"/>
              <a:cs typeface="Courier New" panose="02070309020205020404" pitchFamily="49" charset="0"/>
            </a:rPr>
            <a:t>Criteria &amp; Rating"</a:t>
          </a:r>
        </a:p>
        <a:p>
          <a:endParaRPr lang="en-US" sz="1000" b="0">
            <a:latin typeface="Arial Narrow" panose="020B0606020202030204" pitchFamily="34" charset="0"/>
            <a:cs typeface="Courier New" panose="02070309020205020404" pitchFamily="49" charset="0"/>
          </a:endParaRPr>
        </a:p>
        <a:p>
          <a:pPr algn="l"/>
          <a:r>
            <a:rPr lang="en-US" sz="1000" b="1">
              <a:latin typeface="Arial Narrow" panose="020B0606020202030204" pitchFamily="34" charset="0"/>
              <a:cs typeface="Courier New" panose="02070309020205020404" pitchFamily="49" charset="0"/>
            </a:rPr>
            <a:t>REMARKS:</a:t>
          </a:r>
        </a:p>
        <a:p>
          <a:pPr algn="l"/>
          <a:endParaRPr lang="en-US" sz="1000" b="1">
            <a:latin typeface="Arial Narrow" panose="020B0606020202030204" pitchFamily="34" charset="0"/>
            <a:cs typeface="Courier New" panose="02070309020205020404" pitchFamily="49" charset="0"/>
          </a:endParaRPr>
        </a:p>
        <a:p>
          <a:pPr algn="l"/>
          <a:r>
            <a:rPr lang="en-US" sz="1000" b="1">
              <a:latin typeface="Arial Narrow" panose="020B0606020202030204" pitchFamily="34" charset="0"/>
              <a:cs typeface="Courier New" panose="02070309020205020404" pitchFamily="49" charset="0"/>
            </a:rPr>
            <a:t>1. Projec</a:t>
          </a:r>
          <a:r>
            <a:rPr lang="en-US" sz="1000" b="1" baseline="0">
              <a:latin typeface="Arial Narrow" panose="020B0606020202030204" pitchFamily="34" charset="0"/>
              <a:cs typeface="Courier New" panose="02070309020205020404" pitchFamily="49" charset="0"/>
            </a:rPr>
            <a:t>t size:</a:t>
          </a:r>
        </a:p>
        <a:p>
          <a:pPr algn="l"/>
          <a:r>
            <a:rPr lang="en-US" sz="1000" b="0" baseline="0">
              <a:latin typeface="Arial Narrow" panose="020B0606020202030204" pitchFamily="34" charset="0"/>
              <a:cs typeface="Courier New" panose="02070309020205020404" pitchFamily="49" charset="0"/>
            </a:rPr>
            <a:t>+ Small: 1-3</a:t>
          </a:r>
        </a:p>
        <a:p>
          <a:pPr algn="l"/>
          <a:r>
            <a:rPr lang="en-US" sz="1000" b="0" baseline="0">
              <a:latin typeface="Arial Narrow" panose="020B0606020202030204" pitchFamily="34" charset="0"/>
              <a:cs typeface="Courier New" panose="02070309020205020404" pitchFamily="49" charset="0"/>
            </a:rPr>
            <a:t>+ Medium: 4-9</a:t>
          </a:r>
        </a:p>
        <a:p>
          <a:pPr algn="l"/>
          <a:r>
            <a:rPr lang="en-US" sz="1000" b="0" baseline="0">
              <a:latin typeface="Arial Narrow" panose="020B0606020202030204" pitchFamily="34" charset="0"/>
              <a:cs typeface="Courier New" panose="02070309020205020404" pitchFamily="49" charset="0"/>
            </a:rPr>
            <a:t>+ Big:  &gt;10</a:t>
          </a:r>
        </a:p>
        <a:p>
          <a:pPr algn="l"/>
          <a:r>
            <a:rPr lang="en-US" sz="1000" b="1" baseline="0">
              <a:latin typeface="Arial Narrow" panose="020B0606020202030204" pitchFamily="34" charset="0"/>
              <a:cs typeface="Courier New" panose="02070309020205020404" pitchFamily="49" charset="0"/>
            </a:rPr>
            <a:t>====================================================</a:t>
          </a:r>
        </a:p>
        <a:p>
          <a:pPr algn="l"/>
          <a:r>
            <a:rPr lang="en-US" sz="1000" b="1" baseline="0">
              <a:latin typeface="Arial Narrow" panose="020B0606020202030204" pitchFamily="34" charset="0"/>
              <a:cs typeface="Courier New" panose="02070309020205020404" pitchFamily="49" charset="0"/>
            </a:rPr>
            <a:t>2. Leader roles:</a:t>
          </a:r>
        </a:p>
        <a:p>
          <a:pPr algn="l"/>
          <a:r>
            <a:rPr lang="en-US" sz="1000" b="1" baseline="0">
              <a:latin typeface="Arial Narrow" panose="020B0606020202030204" pitchFamily="34" charset="0"/>
              <a:cs typeface="Courier New" panose="02070309020205020404" pitchFamily="49" charset="0"/>
            </a:rPr>
            <a:t>2.1. Managenement leader: </a:t>
          </a:r>
        </a:p>
        <a:p>
          <a:pPr algn="l"/>
          <a:r>
            <a:rPr lang="en-US" sz="1000" b="0" baseline="0">
              <a:latin typeface="Arial Narrow" panose="020B0606020202030204" pitchFamily="34" charset="0"/>
              <a:cs typeface="Courier New" panose="02070309020205020404" pitchFamily="49" charset="0"/>
            </a:rPr>
            <a:t>+ Small involvement in technical work in project (it is main job of technical leader)</a:t>
          </a:r>
        </a:p>
        <a:p>
          <a:pPr algn="l"/>
          <a:r>
            <a:rPr lang="en-US" sz="1000" b="0" baseline="0">
              <a:latin typeface="Arial Narrow" panose="020B0606020202030204" pitchFamily="34" charset="0"/>
              <a:cs typeface="Courier New" panose="02070309020205020404" pitchFamily="49" charset="0"/>
            </a:rPr>
            <a:t>+ Main PiC of establish development plan, keep project run on track follow TSDV process</a:t>
          </a:r>
        </a:p>
        <a:p>
          <a:pPr algn="l"/>
          <a:r>
            <a:rPr lang="en-US" sz="1000" b="0" baseline="0">
              <a:latin typeface="Arial Narrow" panose="020B0606020202030204" pitchFamily="34" charset="0"/>
              <a:cs typeface="Courier New" panose="02070309020205020404" pitchFamily="49" charset="0"/>
            </a:rPr>
            <a:t>+ Overall management, communicate with stakeholder to make project run smoothly</a:t>
          </a:r>
        </a:p>
        <a:p>
          <a:pPr algn="l"/>
          <a:r>
            <a:rPr lang="en-US" sz="1000" b="0" baseline="0">
              <a:latin typeface="Arial Narrow" panose="020B0606020202030204" pitchFamily="34" charset="0"/>
              <a:cs typeface="Courier New" panose="02070309020205020404" pitchFamily="49" charset="0"/>
            </a:rPr>
            <a:t>+ Increase leadership &amp; understanding of process for project members</a:t>
          </a:r>
        </a:p>
        <a:p>
          <a:pPr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2.2. Technical leader: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Conduct &amp; guiding technical work in project</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Review technical products, main PiC of product quality in project</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Communicate with customer about technical issues (requirement, design, Q&amp;A, etc)</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Suggest development plan for management leader. Support management leader in tracking &amp; manage project members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Increase technical skill for project members</a:t>
          </a:r>
        </a:p>
        <a:p>
          <a:pPr marL="0" indent="0"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2.3. Leader: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Main PiC of both management &amp; technical  work in the project:</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Establish development plan, keep project run on track follow TSDV process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Review technical products, guiding project member to conduct development works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Communicate with customer &amp; other stakeholders to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a:t>
          </a: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3. Additonal consideration for Difficulty: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From </a:t>
          </a:r>
          <a:r>
            <a:rPr lang="en-US" sz="1000" b="1" baseline="0">
              <a:solidFill>
                <a:schemeClr val="dk1"/>
              </a:solidFill>
              <a:latin typeface="Arial Narrow" panose="020B0606020202030204" pitchFamily="34" charset="0"/>
              <a:ea typeface="+mn-ea"/>
              <a:cs typeface="Courier New" panose="02070309020205020404" pitchFamily="49" charset="0"/>
            </a:rPr>
            <a:t>Grade 4</a:t>
          </a:r>
          <a:r>
            <a:rPr lang="en-US" sz="1000" b="0" baseline="0">
              <a:solidFill>
                <a:schemeClr val="dk1"/>
              </a:solidFill>
              <a:latin typeface="Arial Narrow" panose="020B0606020202030204" pitchFamily="34" charset="0"/>
              <a:ea typeface="+mn-ea"/>
              <a:cs typeface="Courier New" panose="02070309020205020404" pitchFamily="49" charset="0"/>
            </a:rPr>
            <a:t>, we can consider to add-up difficulty for lower title in same grade, but the difference is not over 0.2 (in maximum)</a:t>
          </a:r>
        </a:p>
        <a:p>
          <a:pPr marL="0" indent="0" algn="l"/>
          <a:r>
            <a:rPr lang="en-US" sz="1000" b="0" i="1" baseline="0">
              <a:solidFill>
                <a:schemeClr val="dk1"/>
              </a:solidFill>
              <a:latin typeface="Arial Narrow" panose="020B0606020202030204" pitchFamily="34" charset="0"/>
              <a:ea typeface="+mn-ea"/>
              <a:cs typeface="Courier New" panose="02070309020205020404" pitchFamily="49" charset="0"/>
            </a:rPr>
            <a:t>For example:  SSE1 &amp; SSE2 have same responsibilty, but SSE1 may have  higher  difficuty than SSE2.</a:t>
          </a:r>
        </a:p>
        <a:p>
          <a:pPr marL="0" indent="0"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a:t>
          </a:r>
          <a:r>
            <a:rPr lang="en-US" sz="1000" b="0" baseline="0">
              <a:solidFill>
                <a:schemeClr val="dk1"/>
              </a:solidFill>
              <a:latin typeface="Arial Narrow" panose="020B0606020202030204" pitchFamily="34" charset="0"/>
              <a:ea typeface="+mn-ea"/>
              <a:cs typeface="Courier New" panose="02070309020205020404" pitchFamily="49" charset="0"/>
            </a:rPr>
            <a:t> Missing human resource: if project work in missing human resource for long time  &amp; members need to work overtime to recover work, it can be considered to add-up score for Difficutly. For reference:</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10% - 25%: </a:t>
          </a:r>
          <a:r>
            <a:rPr lang="en-US" sz="1000" b="0" baseline="0">
              <a:solidFill>
                <a:srgbClr val="FF0000"/>
              </a:solidFill>
              <a:latin typeface="Arial Narrow" panose="020B0606020202030204" pitchFamily="34" charset="0"/>
              <a:ea typeface="+mn-ea"/>
              <a:cs typeface="Courier New" panose="02070309020205020404" pitchFamily="49" charset="0"/>
            </a:rPr>
            <a:t>+0.3 in maximum</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26% - 50%:  </a:t>
          </a:r>
          <a:r>
            <a:rPr lang="en-US" sz="1000" b="0" baseline="0">
              <a:solidFill>
                <a:srgbClr val="FF0000"/>
              </a:solidFill>
              <a:latin typeface="Arial Narrow" panose="020B0606020202030204" pitchFamily="34" charset="0"/>
              <a:ea typeface="+mn-ea"/>
              <a:cs typeface="Courier New" panose="02070309020205020404" pitchFamily="49" charset="0"/>
            </a:rPr>
            <a:t>+0.5 in maximum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51% - 75%: </a:t>
          </a:r>
          <a:r>
            <a:rPr lang="en-US" sz="1000" b="0" baseline="0">
              <a:solidFill>
                <a:srgbClr val="FF0000"/>
              </a:solidFill>
              <a:latin typeface="Arial Narrow" panose="020B0606020202030204" pitchFamily="34" charset="0"/>
              <a:ea typeface="+mn-ea"/>
              <a:cs typeface="Courier New" panose="02070309020205020404" pitchFamily="49" charset="0"/>
            </a:rPr>
            <a:t>+1.0 in maximum</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&gt;75%: </a:t>
          </a:r>
          <a:r>
            <a:rPr lang="en-US" sz="1000" b="0" baseline="0">
              <a:solidFill>
                <a:srgbClr val="FF0000"/>
              </a:solidFill>
              <a:latin typeface="Arial Narrow" panose="020B0606020202030204" pitchFamily="34" charset="0"/>
              <a:ea typeface="+mn-ea"/>
              <a:cs typeface="Courier New" panose="02070309020205020404" pitchFamily="49" charset="0"/>
            </a:rPr>
            <a:t>+1.5 in maximum</a:t>
          </a:r>
        </a:p>
        <a:p>
          <a:pPr marL="0" indent="0" algn="l"/>
          <a:r>
            <a:rPr lang="en-US" sz="1000" b="0" baseline="0">
              <a:solidFill>
                <a:sysClr val="windowText" lastClr="000000"/>
              </a:solidFill>
              <a:latin typeface="Arial Narrow" panose="020B0606020202030204" pitchFamily="34" charset="0"/>
              <a:ea typeface="+mn-ea"/>
              <a:cs typeface="Courier New" panose="02070309020205020404" pitchFamily="49" charset="0"/>
            </a:rPr>
            <a:t>(Maximum difficulty = 5)</a:t>
          </a:r>
        </a:p>
        <a:p>
          <a:pPr marL="0" indent="0"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a:t>
          </a:r>
          <a:r>
            <a:rPr lang="en-US" sz="1000" b="0" baseline="0">
              <a:solidFill>
                <a:schemeClr val="dk1"/>
              </a:solidFill>
              <a:latin typeface="Arial Narrow" panose="020B0606020202030204" pitchFamily="34" charset="0"/>
              <a:ea typeface="+mn-ea"/>
              <a:cs typeface="Courier New" panose="02070309020205020404" pitchFamily="49" charset="0"/>
            </a:rPr>
            <a:t> Working parrallel: if member need to work in parrallel with many projects than </a:t>
          </a:r>
          <a:r>
            <a:rPr lang="en-US" sz="1000" b="1" baseline="0">
              <a:solidFill>
                <a:schemeClr val="dk1"/>
              </a:solidFill>
              <a:latin typeface="Arial Narrow" panose="020B0606020202030204" pitchFamily="34" charset="0"/>
              <a:ea typeface="+mn-ea"/>
              <a:cs typeface="Courier New" panose="02070309020205020404" pitchFamily="49" charset="0"/>
            </a:rPr>
            <a:t>average</a:t>
          </a:r>
          <a:r>
            <a:rPr lang="en-US" sz="1000" b="0" baseline="0">
              <a:solidFill>
                <a:schemeClr val="dk1"/>
              </a:solidFill>
              <a:latin typeface="Arial Narrow" panose="020B0606020202030204" pitchFamily="34" charset="0"/>
              <a:ea typeface="+mn-ea"/>
              <a:cs typeface="Courier New" panose="02070309020205020404" pitchFamily="49" charset="0"/>
            </a:rPr>
            <a:t>, we can consider to add-up score for difficulty of </a:t>
          </a:r>
          <a:r>
            <a:rPr lang="en-US" sz="1000" b="1" baseline="0">
              <a:solidFill>
                <a:sysClr val="windowText" lastClr="000000"/>
              </a:solidFill>
              <a:latin typeface="Arial Narrow" panose="020B0606020202030204" pitchFamily="34" charset="0"/>
              <a:ea typeface="+mn-ea"/>
              <a:cs typeface="Courier New" panose="02070309020205020404" pitchFamily="49" charset="0"/>
            </a:rPr>
            <a:t>parrallel duration.</a:t>
          </a:r>
          <a:r>
            <a:rPr lang="en-US" sz="1000" b="0" baseline="0">
              <a:solidFill>
                <a:sysClr val="windowText" lastClr="000000"/>
              </a:solidFill>
              <a:latin typeface="Arial Narrow" panose="020B0606020202030204" pitchFamily="34" charset="0"/>
              <a:ea typeface="+mn-ea"/>
              <a:cs typeface="Courier New" panose="02070309020205020404" pitchFamily="49" charset="0"/>
            </a:rPr>
            <a:t> </a:t>
          </a:r>
          <a:r>
            <a:rPr lang="en-US" sz="1000" b="0" baseline="0">
              <a:solidFill>
                <a:schemeClr val="dk1"/>
              </a:solidFill>
              <a:latin typeface="Arial Narrow" panose="020B0606020202030204" pitchFamily="34" charset="0"/>
              <a:ea typeface="+mn-ea"/>
              <a:cs typeface="Courier New" panose="02070309020205020404" pitchFamily="49" charset="0"/>
            </a:rPr>
            <a:t>For reference: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a:t>
          </a:r>
          <a:r>
            <a:rPr lang="en-US" sz="1000" b="1" baseline="0">
              <a:solidFill>
                <a:schemeClr val="dk1"/>
              </a:solidFill>
              <a:latin typeface="Arial Narrow" panose="020B0606020202030204" pitchFamily="34" charset="0"/>
              <a:ea typeface="+mn-ea"/>
              <a:cs typeface="Courier New" panose="02070309020205020404" pitchFamily="49" charset="0"/>
            </a:rPr>
            <a:t>1 more </a:t>
          </a:r>
          <a:r>
            <a:rPr lang="en-US" sz="1000" b="0" baseline="0">
              <a:solidFill>
                <a:schemeClr val="dk1"/>
              </a:solidFill>
              <a:latin typeface="Arial Narrow" panose="020B0606020202030204" pitchFamily="34" charset="0"/>
              <a:ea typeface="+mn-ea"/>
              <a:cs typeface="Courier New" panose="02070309020205020404" pitchFamily="49" charset="0"/>
            </a:rPr>
            <a:t>parrallel project than average: increase difficulty </a:t>
          </a:r>
          <a:r>
            <a:rPr lang="en-US" sz="1000" b="0" baseline="0">
              <a:solidFill>
                <a:srgbClr val="FF0000"/>
              </a:solidFill>
              <a:latin typeface="Arial Narrow" panose="020B0606020202030204" pitchFamily="34" charset="0"/>
              <a:ea typeface="+mn-ea"/>
              <a:cs typeface="Courier New" panose="02070309020205020404" pitchFamily="49" charset="0"/>
            </a:rPr>
            <a:t>+0.5 (in maximum)</a:t>
          </a:r>
          <a:r>
            <a:rPr lang="en-US" sz="1000" b="0" baseline="0">
              <a:solidFill>
                <a:schemeClr val="dk1"/>
              </a:solidFill>
              <a:latin typeface="Arial Narrow" panose="020B0606020202030204" pitchFamily="34" charset="0"/>
              <a:ea typeface="+mn-ea"/>
              <a:cs typeface="Courier New" panose="02070309020205020404" pitchFamily="49" charset="0"/>
            </a:rPr>
            <a:t> for all  projects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a:t>
          </a:r>
          <a:r>
            <a:rPr lang="en-US" sz="1000" b="1" baseline="0">
              <a:solidFill>
                <a:schemeClr val="dk1"/>
              </a:solidFill>
              <a:latin typeface="Arial Narrow" panose="020B0606020202030204" pitchFamily="34" charset="0"/>
              <a:ea typeface="+mn-ea"/>
              <a:cs typeface="Courier New" panose="02070309020205020404" pitchFamily="49" charset="0"/>
            </a:rPr>
            <a:t>2 more </a:t>
          </a:r>
          <a:r>
            <a:rPr lang="en-US" sz="1000" b="0" baseline="0">
              <a:solidFill>
                <a:schemeClr val="dk1"/>
              </a:solidFill>
              <a:latin typeface="Arial Narrow" panose="020B0606020202030204" pitchFamily="34" charset="0"/>
              <a:ea typeface="+mn-ea"/>
              <a:cs typeface="Courier New" panose="02070309020205020404" pitchFamily="49" charset="0"/>
            </a:rPr>
            <a:t>parrallel projects  than average: increase difficulty </a:t>
          </a:r>
          <a:r>
            <a:rPr lang="en-US" sz="1000" b="0" baseline="0">
              <a:solidFill>
                <a:srgbClr val="FF0000"/>
              </a:solidFill>
              <a:latin typeface="Arial Narrow" panose="020B0606020202030204" pitchFamily="34" charset="0"/>
              <a:ea typeface="+mn-ea"/>
              <a:cs typeface="Courier New" panose="02070309020205020404" pitchFamily="49" charset="0"/>
            </a:rPr>
            <a:t>+1.0 (in maximum) </a:t>
          </a:r>
          <a:r>
            <a:rPr lang="en-US" sz="1000" b="0" baseline="0">
              <a:solidFill>
                <a:sysClr val="windowText" lastClr="000000"/>
              </a:solidFill>
              <a:latin typeface="Arial Narrow" panose="020B0606020202030204" pitchFamily="34" charset="0"/>
              <a:ea typeface="+mn-ea"/>
              <a:cs typeface="Courier New" panose="02070309020205020404" pitchFamily="49" charset="0"/>
            </a:rPr>
            <a:t>for all  projects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a:t>
          </a:r>
          <a:r>
            <a:rPr lang="en-US" sz="1000" b="1" baseline="0">
              <a:solidFill>
                <a:schemeClr val="dk1"/>
              </a:solidFill>
              <a:latin typeface="Arial Narrow" panose="020B0606020202030204" pitchFamily="34" charset="0"/>
              <a:ea typeface="+mn-ea"/>
              <a:cs typeface="Courier New" panose="02070309020205020404" pitchFamily="49" charset="0"/>
            </a:rPr>
            <a:t>3 more parrallel </a:t>
          </a:r>
          <a:r>
            <a:rPr lang="en-US" sz="1000" b="0" baseline="0">
              <a:solidFill>
                <a:schemeClr val="dk1"/>
              </a:solidFill>
              <a:latin typeface="Arial Narrow" panose="020B0606020202030204" pitchFamily="34" charset="0"/>
              <a:ea typeface="+mn-ea"/>
              <a:cs typeface="Courier New" panose="02070309020205020404" pitchFamily="49" charset="0"/>
            </a:rPr>
            <a:t>projects  than average: increase  </a:t>
          </a:r>
          <a:r>
            <a:rPr lang="en-US" sz="1000" b="0" baseline="0">
              <a:solidFill>
                <a:srgbClr val="FF0000"/>
              </a:solidFill>
              <a:latin typeface="Arial Narrow" panose="020B0606020202030204" pitchFamily="34" charset="0"/>
              <a:ea typeface="+mn-ea"/>
              <a:cs typeface="Courier New" panose="02070309020205020404" pitchFamily="49" charset="0"/>
            </a:rPr>
            <a:t>+1.5(in maximum)</a:t>
          </a:r>
          <a:r>
            <a:rPr lang="en-US" sz="1000" b="0" baseline="0">
              <a:solidFill>
                <a:schemeClr val="dk1"/>
              </a:solidFill>
              <a:latin typeface="Arial Narrow" panose="020B0606020202030204" pitchFamily="34" charset="0"/>
              <a:ea typeface="+mn-ea"/>
              <a:cs typeface="Courier New" panose="02070309020205020404" pitchFamily="49" charset="0"/>
            </a:rPr>
            <a:t> for all projects</a:t>
          </a:r>
        </a:p>
        <a:p>
          <a:pPr marL="0" marR="0" indent="0" algn="l" defTabSz="914400" eaLnBrk="1" fontAlgn="auto" latinLnBrk="0" hangingPunct="1">
            <a:lnSpc>
              <a:spcPct val="100000"/>
            </a:lnSpc>
            <a:spcBef>
              <a:spcPts val="0"/>
            </a:spcBef>
            <a:spcAft>
              <a:spcPts val="0"/>
            </a:spcAft>
            <a:buClrTx/>
            <a:buSzTx/>
            <a:buFontTx/>
            <a:buNone/>
            <a:tabLst/>
            <a:defRPr/>
          </a:pPr>
          <a:r>
            <a:rPr lang="en-US" sz="1000" b="1" baseline="0">
              <a:solidFill>
                <a:schemeClr val="dk1"/>
              </a:solidFill>
              <a:latin typeface="Arial Narrow" panose="020B0606020202030204" pitchFamily="34" charset="0"/>
              <a:ea typeface="+mn-ea"/>
              <a:cs typeface="Courier New" panose="02070309020205020404" pitchFamily="49" charset="0"/>
            </a:rPr>
            <a:t>For example:  </a:t>
          </a:r>
          <a:r>
            <a:rPr lang="en-US" sz="1000" b="0" baseline="0">
              <a:solidFill>
                <a:schemeClr val="dk1"/>
              </a:solidFill>
              <a:latin typeface="Arial Narrow" panose="020B0606020202030204" pitchFamily="34" charset="0"/>
              <a:ea typeface="+mn-ea"/>
              <a:cs typeface="Courier New" panose="02070309020205020404" pitchFamily="49" charset="0"/>
            </a:rPr>
            <a:t>a member needs to work  in  parralel for </a:t>
          </a:r>
          <a:r>
            <a:rPr lang="en-US" sz="1000" b="1" baseline="0">
              <a:solidFill>
                <a:schemeClr val="dk1"/>
              </a:solidFill>
              <a:latin typeface="Arial Narrow" panose="020B0606020202030204" pitchFamily="34" charset="0"/>
              <a:ea typeface="+mn-ea"/>
              <a:cs typeface="Courier New" panose="02070309020205020404" pitchFamily="49" charset="0"/>
            </a:rPr>
            <a:t>2 more projects  </a:t>
          </a:r>
          <a:r>
            <a:rPr lang="en-US" sz="1000" b="0" baseline="0">
              <a:solidFill>
                <a:schemeClr val="dk1"/>
              </a:solidFill>
              <a:latin typeface="Arial Narrow" panose="020B0606020202030204" pitchFamily="34" charset="0"/>
              <a:ea typeface="+mn-ea"/>
              <a:cs typeface="Courier New" panose="02070309020205020404" pitchFamily="49" charset="0"/>
            </a:rPr>
            <a:t>than </a:t>
          </a:r>
          <a:r>
            <a:rPr lang="en-US" sz="1000" b="1" baseline="0">
              <a:solidFill>
                <a:schemeClr val="dk1"/>
              </a:solidFill>
              <a:latin typeface="Arial Narrow" panose="020B0606020202030204" pitchFamily="34" charset="0"/>
              <a:ea typeface="+mn-ea"/>
              <a:cs typeface="Courier New" panose="02070309020205020404" pitchFamily="49" charset="0"/>
            </a:rPr>
            <a:t>expectation</a:t>
          </a:r>
          <a:r>
            <a:rPr lang="en-US" sz="1000" b="0" baseline="0">
              <a:solidFill>
                <a:schemeClr val="dk1"/>
              </a:solidFill>
              <a:latin typeface="Arial Narrow" panose="020B0606020202030204" pitchFamily="34" charset="0"/>
              <a:ea typeface="+mn-ea"/>
              <a:cs typeface="Courier New" panose="02070309020205020404" pitchFamily="49" charset="0"/>
            </a:rPr>
            <a:t> : </a:t>
          </a:r>
        </a:p>
        <a:p>
          <a:pPr marL="0" marR="0" indent="0" algn="l" defTabSz="914400" eaLnBrk="1" fontAlgn="auto" latinLnBrk="0" hangingPunct="1">
            <a:lnSpc>
              <a:spcPct val="100000"/>
            </a:lnSpc>
            <a:spcBef>
              <a:spcPts val="0"/>
            </a:spcBef>
            <a:spcAft>
              <a:spcPts val="0"/>
            </a:spcAft>
            <a:buClrTx/>
            <a:buSzTx/>
            <a:buFontTx/>
            <a:buNone/>
            <a:tabLst/>
            <a:defRPr/>
          </a:pPr>
          <a:r>
            <a:rPr lang="en-US" sz="1000" b="0" i="0" baseline="0">
              <a:solidFill>
                <a:schemeClr val="dk1"/>
              </a:solidFill>
              <a:latin typeface="Arial Narrow" panose="020B0606020202030204" pitchFamily="34" charset="0"/>
              <a:ea typeface="+mn-ea"/>
              <a:cs typeface="Courier New" panose="02070309020205020404" pitchFamily="49" charset="0"/>
            </a:rPr>
            <a:t>Project 1 (duration = 6 months) :  I-----</a:t>
          </a:r>
          <a:r>
            <a:rPr lang="en-US" sz="1000" b="0" i="0" baseline="0">
              <a:solidFill>
                <a:schemeClr val="dk1"/>
              </a:solidFill>
              <a:effectLst/>
              <a:latin typeface="Arial Narrow" panose="020B0606020202030204" pitchFamily="34" charset="0"/>
              <a:ea typeface="+mn-ea"/>
              <a:cs typeface="Courier New" panose="02070309020205020404" pitchFamily="49" charset="0"/>
            </a:rPr>
            <a:t>I-----I-----I-----I-----I-----I    --&gt; base difficulty </a:t>
          </a:r>
          <a:r>
            <a:rPr lang="en-US" sz="1000" b="0" i="0" baseline="0">
              <a:solidFill>
                <a:srgbClr val="FF0000"/>
              </a:solidFill>
              <a:effectLst/>
              <a:latin typeface="Arial Narrow" panose="020B0606020202030204" pitchFamily="34" charset="0"/>
              <a:ea typeface="+mn-ea"/>
              <a:cs typeface="Courier New" panose="02070309020205020404" pitchFamily="49" charset="0"/>
            </a:rPr>
            <a:t>D1 = X </a:t>
          </a:r>
          <a:endParaRPr lang="en-US" sz="1000" b="0" i="0" baseline="0">
            <a:solidFill>
              <a:schemeClr val="dk1"/>
            </a:solidFill>
            <a:effectLst/>
            <a:latin typeface="Arial Narrow" panose="020B0606020202030204" pitchFamily="34" charset="0"/>
            <a:ea typeface="+mn-ea"/>
            <a:cs typeface="Courier New" panose="02070309020205020404" pitchFamily="49"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Project 2 (duration = 4 months) :                 I-----I-----I-----I-----I    --&gt; base difficulty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D2 = Y </a:t>
          </a:r>
          <a:endPar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Project 3 (duration = 1 month) :                                         I-----I    --&gt; base difficulty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D3 = Z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a:t>
          </a:r>
          <a:r>
            <a:rPr kumimoji="0" lang="en-US" sz="1000" b="1"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Base difficulty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is base on Responsibility Description)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Base on </a:t>
          </a:r>
          <a:r>
            <a:rPr kumimoji="0" lang="en-US" sz="1000" b="1"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parallel duration</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difficulty for each project will be decided as follows: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Project 1: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D1 =  (2*X + 3*(X + 0.5) + 1*(X + 1.0)) / (2 + 3 + 1)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(In maximum)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Project 2: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D2 =             (3*(Y + 0.5) + 1*(Y + 1.0)) /  (3+ 1)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(In maximum)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Project 1: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D3 =                                    (1*(Z + 1.0)) / 1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(In maximum)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indent="0" algn="l"/>
          <a:endParaRPr kumimoji="0" lang="en-US" sz="1000" b="0" i="1"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indent="0" algn="l"/>
          <a:endParaRPr kumimoji="0" lang="en-US" sz="1000" b="0" i="1"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BO/TSDV-20xxAB-MBOSheet_NguyenVanX_YYYYMMDD_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BO Sheet"/>
      <sheetName val="Task #1"/>
      <sheetName val="Task #2"/>
      <sheetName val="Task #3"/>
      <sheetName val="Task #4"/>
      <sheetName val="Task #5"/>
      <sheetName val="Task #6"/>
      <sheetName val="Attitude"/>
      <sheetName val="Criteria &amp; Rating"/>
      <sheetName val="Responsibility vs. Grade"/>
    </sheetNames>
    <sheetDataSet>
      <sheetData sheetId="0" refreshError="1"/>
      <sheetData sheetId="1">
        <row r="3">
          <cell r="C3" t="str">
            <v>Development Work Task</v>
          </cell>
        </row>
      </sheetData>
      <sheetData sheetId="2" refreshError="1"/>
      <sheetData sheetId="3" refreshError="1"/>
      <sheetData sheetId="4" refreshError="1"/>
      <sheetData sheetId="5" refreshError="1"/>
      <sheetData sheetId="6" refreshError="1"/>
      <sheetData sheetId="7" refreshError="1"/>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2:S56"/>
  <sheetViews>
    <sheetView showGridLines="0" view="pageBreakPreview" zoomScale="55" zoomScaleNormal="55" zoomScaleSheetLayoutView="55" workbookViewId="0">
      <selection activeCell="K37" sqref="K37"/>
    </sheetView>
  </sheetViews>
  <sheetFormatPr defaultRowHeight="18" x14ac:dyDescent="0.2"/>
  <cols>
    <col min="1" max="1" width="1" style="245" customWidth="1"/>
    <col min="2" max="2" width="5.5" style="245" customWidth="1"/>
    <col min="3" max="3" width="15.75" style="245" customWidth="1"/>
    <col min="4" max="5" width="15.375" style="245" customWidth="1"/>
    <col min="6" max="6" width="16.25" style="245" customWidth="1"/>
    <col min="7" max="7" width="2.75" style="245" customWidth="1"/>
    <col min="8" max="8" width="2.5" style="245" customWidth="1"/>
    <col min="9" max="9" width="10.75" style="245" customWidth="1"/>
    <col min="10" max="10" width="6.5" style="245" customWidth="1"/>
    <col min="11" max="11" width="12.875" style="245" customWidth="1"/>
    <col min="12" max="12" width="11.25" style="245" customWidth="1"/>
    <col min="13" max="13" width="14.375" style="245" customWidth="1"/>
    <col min="14" max="14" width="4.375" style="245" customWidth="1"/>
    <col min="15" max="15" width="1.625" style="245" customWidth="1"/>
    <col min="16" max="16" width="3.25" style="245" customWidth="1"/>
    <col min="17" max="17" width="12.625" style="245" customWidth="1"/>
    <col min="18" max="18" width="17.125" style="245" customWidth="1"/>
    <col min="19" max="19" width="12.625" style="245" customWidth="1"/>
    <col min="20" max="20" width="2.125" style="245" customWidth="1"/>
    <col min="21" max="16384" width="9" style="245"/>
  </cols>
  <sheetData>
    <row r="2" spans="2:19" ht="48" customHeight="1" x14ac:dyDescent="0.2">
      <c r="B2" s="315" t="s">
        <v>256</v>
      </c>
      <c r="C2" s="315"/>
      <c r="D2" s="315"/>
      <c r="E2" s="315"/>
      <c r="F2" s="315"/>
      <c r="G2" s="315"/>
      <c r="H2" s="315"/>
      <c r="I2" s="315"/>
      <c r="J2" s="315"/>
      <c r="K2" s="315"/>
      <c r="L2" s="315"/>
      <c r="M2" s="315"/>
      <c r="N2" s="278"/>
      <c r="O2" s="278"/>
      <c r="P2" s="278"/>
      <c r="Q2" s="278"/>
    </row>
    <row r="3" spans="2:19" ht="7.5" customHeight="1" thickBot="1" x14ac:dyDescent="0.25">
      <c r="B3" s="279"/>
      <c r="C3" s="279"/>
      <c r="D3" s="279"/>
      <c r="E3" s="279"/>
      <c r="F3" s="279"/>
      <c r="G3" s="279"/>
      <c r="H3" s="279"/>
      <c r="I3" s="279"/>
      <c r="J3" s="279"/>
      <c r="K3" s="279"/>
      <c r="L3" s="279"/>
      <c r="M3" s="279"/>
      <c r="N3" s="278"/>
      <c r="O3" s="278"/>
      <c r="P3" s="278"/>
      <c r="Q3" s="278"/>
    </row>
    <row r="4" spans="2:19" ht="18.75" thickBot="1" x14ac:dyDescent="0.25">
      <c r="C4" s="276" t="s">
        <v>258</v>
      </c>
      <c r="D4" s="277">
        <f>INDEX('Grade &amp; Title'!A2:A25, MATCH('EVALUATION SUMMARY'!E8,'Grade &amp; Title'!B2:B25, 0))</f>
        <v>5</v>
      </c>
    </row>
    <row r="5" spans="2:19" x14ac:dyDescent="0.2">
      <c r="C5" s="316" t="s">
        <v>0</v>
      </c>
      <c r="D5" s="317"/>
      <c r="E5" s="317"/>
      <c r="F5" s="318"/>
      <c r="I5" s="329" t="s">
        <v>1</v>
      </c>
      <c r="J5" s="330"/>
      <c r="K5" s="330"/>
      <c r="L5" s="330"/>
      <c r="M5" s="331"/>
    </row>
    <row r="6" spans="2:19" x14ac:dyDescent="0.2">
      <c r="C6" s="327" t="s">
        <v>3</v>
      </c>
      <c r="D6" s="328"/>
      <c r="E6" s="319" t="s">
        <v>266</v>
      </c>
      <c r="F6" s="320"/>
      <c r="I6" s="332" t="s">
        <v>3</v>
      </c>
      <c r="J6" s="333"/>
      <c r="K6" s="333"/>
      <c r="L6" s="333"/>
      <c r="M6" s="334"/>
    </row>
    <row r="7" spans="2:19" ht="18.75" thickBot="1" x14ac:dyDescent="0.25">
      <c r="C7" s="327" t="s">
        <v>211</v>
      </c>
      <c r="D7" s="328"/>
      <c r="E7" s="319">
        <v>900</v>
      </c>
      <c r="F7" s="320"/>
      <c r="I7" s="324" t="s">
        <v>211</v>
      </c>
      <c r="J7" s="325"/>
      <c r="K7" s="325"/>
      <c r="L7" s="325"/>
      <c r="M7" s="326"/>
      <c r="Q7" s="281" t="s">
        <v>273</v>
      </c>
      <c r="R7" s="281"/>
      <c r="S7" s="282" t="s">
        <v>270</v>
      </c>
    </row>
    <row r="8" spans="2:19" ht="18.75" thickBot="1" x14ac:dyDescent="0.25">
      <c r="C8" s="327" t="s">
        <v>265</v>
      </c>
      <c r="D8" s="328"/>
      <c r="E8" s="319" t="s">
        <v>228</v>
      </c>
      <c r="F8" s="320"/>
      <c r="I8" s="323"/>
      <c r="J8" s="323"/>
      <c r="K8" s="323"/>
      <c r="L8" s="323"/>
      <c r="M8" s="323"/>
      <c r="N8" s="246"/>
      <c r="O8" s="323"/>
      <c r="P8" s="323"/>
    </row>
    <row r="9" spans="2:19" x14ac:dyDescent="0.2">
      <c r="C9" s="272" t="s">
        <v>267</v>
      </c>
      <c r="D9" s="273" t="s">
        <v>269</v>
      </c>
      <c r="E9" s="335">
        <v>41730</v>
      </c>
      <c r="F9" s="336"/>
      <c r="I9" s="329" t="s">
        <v>2</v>
      </c>
      <c r="J9" s="330"/>
      <c r="K9" s="330"/>
      <c r="L9" s="330"/>
      <c r="M9" s="331"/>
      <c r="N9" s="246"/>
      <c r="O9" s="323"/>
      <c r="P9" s="323"/>
    </row>
    <row r="10" spans="2:19" x14ac:dyDescent="0.2">
      <c r="C10" s="272"/>
      <c r="D10" s="273" t="s">
        <v>268</v>
      </c>
      <c r="E10" s="335">
        <v>42094</v>
      </c>
      <c r="F10" s="336"/>
      <c r="I10" s="332" t="s">
        <v>3</v>
      </c>
      <c r="J10" s="333"/>
      <c r="K10" s="333"/>
      <c r="L10" s="333"/>
      <c r="M10" s="334"/>
      <c r="N10" s="246"/>
      <c r="O10" s="323"/>
      <c r="P10" s="323"/>
    </row>
    <row r="11" spans="2:19" ht="18.75" thickBot="1" x14ac:dyDescent="0.25">
      <c r="C11" s="274"/>
      <c r="D11" s="275"/>
      <c r="E11" s="321"/>
      <c r="F11" s="322"/>
      <c r="I11" s="324" t="s">
        <v>211</v>
      </c>
      <c r="J11" s="325"/>
      <c r="K11" s="325"/>
      <c r="L11" s="325"/>
      <c r="M11" s="326"/>
      <c r="N11" s="246"/>
      <c r="O11" s="246"/>
      <c r="P11" s="246"/>
      <c r="Q11" s="246"/>
      <c r="R11" s="246"/>
      <c r="S11" s="246"/>
    </row>
    <row r="12" spans="2:19" x14ac:dyDescent="0.2">
      <c r="C12" s="246"/>
      <c r="D12" s="246"/>
      <c r="E12" s="246"/>
      <c r="F12" s="246"/>
      <c r="I12" s="271"/>
      <c r="J12" s="271"/>
      <c r="K12" s="271"/>
      <c r="L12" s="271"/>
      <c r="M12" s="271"/>
      <c r="N12" s="246"/>
      <c r="O12" s="246"/>
      <c r="P12" s="246"/>
      <c r="Q12" s="246"/>
      <c r="R12" s="246"/>
      <c r="S12" s="246"/>
    </row>
    <row r="13" spans="2:19" x14ac:dyDescent="0.2">
      <c r="B13" s="10" t="s">
        <v>251</v>
      </c>
    </row>
    <row r="14" spans="2:19" x14ac:dyDescent="0.2">
      <c r="B14" s="10"/>
      <c r="D14" s="262" t="s">
        <v>257</v>
      </c>
      <c r="E14" s="262" t="s">
        <v>1</v>
      </c>
      <c r="F14" s="262" t="s">
        <v>9</v>
      </c>
      <c r="G14" s="328" t="s">
        <v>218</v>
      </c>
      <c r="H14" s="328"/>
      <c r="I14" s="328"/>
      <c r="J14" s="328"/>
      <c r="K14" s="328"/>
      <c r="L14" s="328"/>
      <c r="M14" s="328"/>
    </row>
    <row r="15" spans="2:19" x14ac:dyDescent="0.2">
      <c r="B15" s="246"/>
      <c r="C15" s="247" t="s">
        <v>252</v>
      </c>
      <c r="D15" s="421">
        <f>IF($S$7="No", "NA", 'MBO Sheet (A term)'!H35)</f>
        <v>0</v>
      </c>
      <c r="E15" s="421">
        <f>IF($S$7="No", "NA", 'MBO Sheet (A term)'!L35)</f>
        <v>0</v>
      </c>
      <c r="F15" s="421">
        <f>IF($S$7="No", "NA", 'MBO Sheet (A term)'!M35)</f>
        <v>0</v>
      </c>
      <c r="G15" s="338"/>
      <c r="H15" s="339"/>
      <c r="I15" s="339"/>
      <c r="J15" s="339"/>
      <c r="K15" s="339"/>
      <c r="L15" s="339"/>
      <c r="M15" s="340"/>
    </row>
    <row r="16" spans="2:19" x14ac:dyDescent="0.2">
      <c r="B16" s="246"/>
      <c r="C16" s="247" t="s">
        <v>253</v>
      </c>
      <c r="D16" s="422">
        <f>'MBO Sheet (B term)'!H35</f>
        <v>0</v>
      </c>
      <c r="E16" s="422">
        <f>'MBO Sheet (B term)'!L35</f>
        <v>0</v>
      </c>
      <c r="F16" s="422">
        <f>'MBO Sheet (B term)'!M35</f>
        <v>0</v>
      </c>
      <c r="G16" s="319"/>
      <c r="H16" s="341"/>
      <c r="I16" s="341"/>
      <c r="J16" s="341"/>
      <c r="K16" s="341"/>
      <c r="L16" s="341"/>
      <c r="M16" s="342"/>
    </row>
    <row r="17" spans="1:15" x14ac:dyDescent="0.2">
      <c r="B17" s="246"/>
      <c r="C17" s="260" t="s">
        <v>271</v>
      </c>
      <c r="D17" s="423">
        <f>IF($S$7="No", D16, AVERAGE(D15:D16))</f>
        <v>0</v>
      </c>
      <c r="E17" s="423">
        <f>IF($S$7="No", E16, AVERAGE(E15:E16))</f>
        <v>0</v>
      </c>
      <c r="F17" s="423">
        <f>IF($S$7="No", F16, AVERAGE(F15:F16))</f>
        <v>0</v>
      </c>
      <c r="G17" s="337"/>
      <c r="H17" s="337"/>
      <c r="I17" s="337"/>
      <c r="J17" s="337"/>
      <c r="K17" s="337"/>
      <c r="L17" s="337"/>
      <c r="M17" s="337"/>
    </row>
    <row r="18" spans="1:15" x14ac:dyDescent="0.2">
      <c r="G18" s="246"/>
      <c r="H18" s="259"/>
      <c r="I18" s="246"/>
      <c r="J18" s="246"/>
    </row>
    <row r="19" spans="1:15" x14ac:dyDescent="0.2">
      <c r="B19" s="10" t="s">
        <v>17</v>
      </c>
      <c r="G19" s="246"/>
      <c r="H19" s="259"/>
    </row>
    <row r="20" spans="1:15" x14ac:dyDescent="0.2">
      <c r="B20" s="246"/>
      <c r="D20" s="262" t="s">
        <v>257</v>
      </c>
      <c r="E20" s="262" t="s">
        <v>1</v>
      </c>
      <c r="F20" s="262" t="s">
        <v>9</v>
      </c>
      <c r="G20" s="328" t="s">
        <v>218</v>
      </c>
      <c r="H20" s="328"/>
      <c r="I20" s="328"/>
      <c r="J20" s="328"/>
      <c r="K20" s="328"/>
      <c r="L20" s="328"/>
      <c r="M20" s="328"/>
    </row>
    <row r="21" spans="1:15" x14ac:dyDescent="0.2">
      <c r="B21" s="246"/>
      <c r="C21" s="247" t="s">
        <v>252</v>
      </c>
      <c r="D21" s="421">
        <f>IF($S$7="No", "NA", 'MBO Sheet (A term)'!H45)</f>
        <v>0</v>
      </c>
      <c r="E21" s="421">
        <f>IF($S$7="No", "NA", 'MBO Sheet (A term)'!L45)</f>
        <v>0</v>
      </c>
      <c r="F21" s="421">
        <f>IF($S$7="No", "NA", 'MBO Sheet (A term)'!M45)</f>
        <v>0</v>
      </c>
      <c r="G21" s="338"/>
      <c r="H21" s="339"/>
      <c r="I21" s="339"/>
      <c r="J21" s="339"/>
      <c r="K21" s="339"/>
      <c r="L21" s="339"/>
      <c r="M21" s="340"/>
    </row>
    <row r="22" spans="1:15" x14ac:dyDescent="0.2">
      <c r="B22" s="246"/>
      <c r="C22" s="247" t="s">
        <v>253</v>
      </c>
      <c r="D22" s="422">
        <f>'MBO Sheet (B term)'!H45</f>
        <v>0</v>
      </c>
      <c r="E22" s="422">
        <f>'MBO Sheet (B term)'!L45</f>
        <v>0</v>
      </c>
      <c r="F22" s="422">
        <f>'MBO Sheet (B term)'!M45</f>
        <v>0</v>
      </c>
      <c r="G22" s="319"/>
      <c r="H22" s="341"/>
      <c r="I22" s="341"/>
      <c r="J22" s="341"/>
      <c r="K22" s="341"/>
      <c r="L22" s="341"/>
      <c r="M22" s="342"/>
    </row>
    <row r="23" spans="1:15" ht="14.25" customHeight="1" x14ac:dyDescent="0.2">
      <c r="C23" s="260" t="s">
        <v>271</v>
      </c>
      <c r="D23" s="423">
        <f>IF($S$7="No",D22,AVERAGE(D21:D22))</f>
        <v>0</v>
      </c>
      <c r="E23" s="423">
        <f>IF($S$7="No",E22,AVERAGE(E21:E22))</f>
        <v>0</v>
      </c>
      <c r="F23" s="423">
        <f>IF($S$7="No",F22,AVERAGE(F21:F22))</f>
        <v>0</v>
      </c>
      <c r="G23" s="337"/>
      <c r="H23" s="337"/>
      <c r="I23" s="337"/>
      <c r="J23" s="337"/>
      <c r="K23" s="337"/>
      <c r="L23" s="337"/>
      <c r="M23" s="337"/>
    </row>
    <row r="24" spans="1:15" ht="18.75" customHeight="1" x14ac:dyDescent="0.2">
      <c r="A24" s="259"/>
      <c r="B24" s="259"/>
      <c r="C24" s="259"/>
      <c r="D24" s="259"/>
      <c r="E24" s="259"/>
      <c r="F24" s="259"/>
      <c r="G24" s="259"/>
      <c r="H24" s="259"/>
    </row>
    <row r="25" spans="1:15" x14ac:dyDescent="0.2">
      <c r="B25" s="10" t="s">
        <v>255</v>
      </c>
      <c r="I25" s="52"/>
      <c r="J25" s="246"/>
      <c r="K25" s="246"/>
      <c r="O25" s="246"/>
    </row>
    <row r="26" spans="1:15" x14ac:dyDescent="0.2">
      <c r="B26" s="246"/>
      <c r="D26" s="262" t="s">
        <v>257</v>
      </c>
      <c r="E26" s="262" t="s">
        <v>1</v>
      </c>
      <c r="F26" s="262" t="s">
        <v>9</v>
      </c>
      <c r="G26" s="328" t="s">
        <v>218</v>
      </c>
      <c r="H26" s="328"/>
      <c r="I26" s="328"/>
      <c r="J26" s="328"/>
      <c r="K26" s="328"/>
      <c r="L26" s="328"/>
      <c r="M26" s="328"/>
    </row>
    <row r="27" spans="1:15" x14ac:dyDescent="0.2">
      <c r="B27" s="246"/>
      <c r="C27" s="247" t="s">
        <v>252</v>
      </c>
      <c r="D27" s="280"/>
      <c r="E27" s="280"/>
      <c r="F27" s="421">
        <f>IF(S7="No","NA",'MBO Sheet (A term)'!M54)</f>
        <v>0</v>
      </c>
      <c r="G27" s="338"/>
      <c r="H27" s="339"/>
      <c r="I27" s="339"/>
      <c r="J27" s="339"/>
      <c r="K27" s="339"/>
      <c r="L27" s="339"/>
      <c r="M27" s="340"/>
    </row>
    <row r="28" spans="1:15" x14ac:dyDescent="0.2">
      <c r="B28" s="246"/>
      <c r="C28" s="247" t="s">
        <v>253</v>
      </c>
      <c r="D28" s="280"/>
      <c r="E28" s="280"/>
      <c r="F28" s="422">
        <f>'MBO Sheet (B term)'!M54</f>
        <v>0</v>
      </c>
      <c r="G28" s="319"/>
      <c r="H28" s="341"/>
      <c r="I28" s="341"/>
      <c r="J28" s="341"/>
      <c r="K28" s="341"/>
      <c r="L28" s="341"/>
      <c r="M28" s="342"/>
    </row>
    <row r="29" spans="1:15" x14ac:dyDescent="0.2">
      <c r="C29" s="260" t="s">
        <v>271</v>
      </c>
      <c r="D29" s="261"/>
      <c r="E29" s="261"/>
      <c r="F29" s="423">
        <f>IF($S$7="No",F28,AVERAGE(F27:F28))</f>
        <v>0</v>
      </c>
      <c r="G29" s="337"/>
      <c r="H29" s="337"/>
      <c r="I29" s="337"/>
      <c r="J29" s="337"/>
      <c r="K29" s="337"/>
      <c r="L29" s="337"/>
      <c r="M29" s="337"/>
    </row>
    <row r="30" spans="1:15" x14ac:dyDescent="0.2">
      <c r="B30" s="246"/>
      <c r="C30" s="246"/>
      <c r="D30" s="246"/>
      <c r="E30" s="246"/>
      <c r="F30" s="246"/>
      <c r="I30" s="246"/>
      <c r="J30" s="246"/>
      <c r="K30" s="246"/>
      <c r="L30" s="246"/>
      <c r="M30" s="246"/>
      <c r="N30" s="246"/>
      <c r="O30" s="246"/>
    </row>
    <row r="31" spans="1:15" ht="23.25" customHeight="1" x14ac:dyDescent="0.2">
      <c r="B31" s="52" t="s">
        <v>23</v>
      </c>
      <c r="C31" s="246"/>
      <c r="D31" s="246"/>
      <c r="E31" s="246"/>
      <c r="F31" s="246"/>
      <c r="G31" s="246"/>
      <c r="H31" s="246"/>
      <c r="I31" s="246"/>
      <c r="J31" s="246"/>
      <c r="K31" s="246"/>
      <c r="L31" s="246"/>
      <c r="M31" s="246"/>
      <c r="N31" s="246"/>
      <c r="O31" s="246"/>
    </row>
    <row r="32" spans="1:15" ht="23.25" customHeight="1" x14ac:dyDescent="0.2">
      <c r="B32" s="52"/>
      <c r="D32" s="262" t="s">
        <v>9</v>
      </c>
      <c r="E32" s="246"/>
      <c r="F32" s="246"/>
      <c r="G32" s="246"/>
      <c r="H32" s="246"/>
      <c r="I32" s="246"/>
      <c r="J32" s="246"/>
      <c r="K32" s="246"/>
      <c r="L32" s="246"/>
      <c r="M32" s="246"/>
    </row>
    <row r="33" spans="2:15" x14ac:dyDescent="0.2">
      <c r="B33" s="246"/>
      <c r="C33" s="247" t="s">
        <v>252</v>
      </c>
      <c r="D33" s="421">
        <f>IF($S$7="No", "NA", F15+F21+F27)</f>
        <v>0</v>
      </c>
      <c r="E33" s="246"/>
      <c r="F33" s="246"/>
      <c r="H33" s="246"/>
      <c r="I33" s="246"/>
      <c r="J33" s="246"/>
      <c r="K33" s="246"/>
      <c r="L33" s="246"/>
      <c r="M33" s="246"/>
    </row>
    <row r="34" spans="2:15" x14ac:dyDescent="0.2">
      <c r="B34" s="246"/>
      <c r="C34" s="247" t="s">
        <v>253</v>
      </c>
      <c r="D34" s="422">
        <f>F16+F22+F28</f>
        <v>0</v>
      </c>
      <c r="E34" s="246"/>
      <c r="F34" s="246"/>
      <c r="G34" s="246"/>
      <c r="H34" s="246"/>
      <c r="I34" s="246"/>
      <c r="J34" s="246"/>
      <c r="K34" s="246"/>
      <c r="L34" s="246"/>
      <c r="M34" s="246"/>
    </row>
    <row r="35" spans="2:15" x14ac:dyDescent="0.2">
      <c r="B35" s="246"/>
      <c r="C35" s="260" t="s">
        <v>271</v>
      </c>
      <c r="D35" s="423">
        <f>IF($S$7="No", D34, AVERAGE(D33:D34))</f>
        <v>0</v>
      </c>
      <c r="E35" s="246"/>
      <c r="F35" s="246"/>
      <c r="G35" s="246"/>
      <c r="H35" s="246"/>
      <c r="I35" s="246"/>
      <c r="J35" s="246"/>
      <c r="K35" s="246"/>
      <c r="L35" s="246"/>
      <c r="M35" s="246"/>
    </row>
    <row r="36" spans="2:15" ht="17.25" customHeight="1" x14ac:dyDescent="0.2">
      <c r="B36" s="246"/>
      <c r="C36" s="246"/>
      <c r="D36" s="246"/>
      <c r="E36" s="246"/>
      <c r="F36" s="246"/>
      <c r="G36" s="246"/>
      <c r="H36" s="246"/>
      <c r="I36" s="246"/>
      <c r="J36" s="246"/>
      <c r="K36" s="246"/>
      <c r="L36" s="246"/>
      <c r="M36" s="246"/>
      <c r="N36" s="246"/>
      <c r="O36" s="246"/>
    </row>
    <row r="37" spans="2:15" x14ac:dyDescent="0.2">
      <c r="B37" s="52" t="s">
        <v>254</v>
      </c>
      <c r="C37" s="246"/>
      <c r="D37" s="246"/>
      <c r="E37" s="246"/>
      <c r="F37" s="246"/>
      <c r="G37" s="246"/>
      <c r="H37" s="246"/>
      <c r="I37" s="246"/>
      <c r="J37" s="246"/>
      <c r="K37" s="246"/>
      <c r="L37" s="246"/>
      <c r="M37" s="246"/>
      <c r="N37" s="246"/>
      <c r="O37" s="246"/>
    </row>
    <row r="38" spans="2:15" x14ac:dyDescent="0.2">
      <c r="C38" s="246"/>
      <c r="D38" s="246"/>
      <c r="E38" s="246"/>
      <c r="F38" s="246"/>
      <c r="G38" s="246"/>
      <c r="H38" s="246"/>
      <c r="I38" s="246"/>
      <c r="J38" s="246"/>
      <c r="K38" s="246"/>
      <c r="L38" s="246"/>
      <c r="M38" s="246"/>
      <c r="N38" s="246"/>
      <c r="O38" s="246"/>
    </row>
    <row r="39" spans="2:15" ht="18.75" x14ac:dyDescent="0.2">
      <c r="B39" s="248"/>
      <c r="C39" s="263" t="s">
        <v>29</v>
      </c>
      <c r="D39" s="264"/>
      <c r="E39" s="264"/>
      <c r="F39" s="264"/>
      <c r="G39" s="264"/>
      <c r="H39" s="264"/>
      <c r="I39" s="264"/>
      <c r="J39" s="265"/>
      <c r="K39" s="246"/>
      <c r="L39" s="246"/>
      <c r="M39" s="246"/>
      <c r="N39" s="246"/>
      <c r="O39" s="246"/>
    </row>
    <row r="40" spans="2:15" ht="18.75" x14ac:dyDescent="0.2">
      <c r="B40" s="246"/>
      <c r="C40" s="266"/>
      <c r="D40" s="249"/>
      <c r="E40" s="249"/>
      <c r="F40" s="249"/>
      <c r="G40" s="249"/>
      <c r="H40" s="246"/>
      <c r="I40" s="246"/>
      <c r="J40" s="267"/>
      <c r="K40" s="246"/>
      <c r="L40" s="246"/>
      <c r="M40" s="246"/>
      <c r="N40" s="246"/>
      <c r="O40" s="246"/>
    </row>
    <row r="41" spans="2:15" ht="18.75" x14ac:dyDescent="0.2">
      <c r="B41" s="246"/>
      <c r="C41" s="266"/>
      <c r="D41" s="246"/>
      <c r="E41" s="246"/>
      <c r="F41" s="246"/>
      <c r="G41" s="246"/>
      <c r="H41" s="246"/>
      <c r="I41" s="246"/>
      <c r="J41" s="267"/>
      <c r="K41" s="246"/>
      <c r="L41" s="246"/>
      <c r="M41" s="246"/>
      <c r="N41" s="246"/>
      <c r="O41" s="249"/>
    </row>
    <row r="42" spans="2:15" x14ac:dyDescent="0.2">
      <c r="B42" s="246"/>
      <c r="C42" s="266"/>
      <c r="D42" s="246"/>
      <c r="E42" s="246"/>
      <c r="F42" s="246"/>
      <c r="G42" s="246"/>
      <c r="H42" s="246"/>
      <c r="I42" s="246"/>
      <c r="J42" s="267"/>
      <c r="K42" s="246"/>
      <c r="L42" s="246"/>
      <c r="M42" s="246"/>
      <c r="N42" s="246"/>
    </row>
    <row r="43" spans="2:15" x14ac:dyDescent="0.2">
      <c r="C43" s="268"/>
      <c r="D43" s="269"/>
      <c r="E43" s="269"/>
      <c r="F43" s="269"/>
      <c r="G43" s="269"/>
      <c r="H43" s="269"/>
      <c r="I43" s="269"/>
      <c r="J43" s="270"/>
      <c r="K43" s="246"/>
      <c r="L43" s="250"/>
      <c r="M43" s="250"/>
      <c r="N43" s="250"/>
    </row>
    <row r="44" spans="2:15" ht="18.75" x14ac:dyDescent="0.2">
      <c r="L44" s="251" t="s">
        <v>30</v>
      </c>
    </row>
    <row r="45" spans="2:15" ht="18.75" x14ac:dyDescent="0.2">
      <c r="B45" s="252"/>
      <c r="C45" s="263" t="s">
        <v>31</v>
      </c>
      <c r="D45" s="264"/>
      <c r="E45" s="264"/>
      <c r="F45" s="264"/>
      <c r="G45" s="264"/>
      <c r="H45" s="264"/>
      <c r="I45" s="264"/>
      <c r="J45" s="265"/>
      <c r="K45" s="246"/>
    </row>
    <row r="46" spans="2:15" ht="18.75" x14ac:dyDescent="0.2">
      <c r="C46" s="266"/>
      <c r="D46" s="249"/>
      <c r="E46" s="249"/>
      <c r="F46" s="249"/>
      <c r="G46" s="249"/>
      <c r="H46" s="246"/>
      <c r="I46" s="246"/>
      <c r="J46" s="267"/>
      <c r="K46" s="246"/>
    </row>
    <row r="47" spans="2:15" x14ac:dyDescent="0.2">
      <c r="C47" s="266"/>
      <c r="D47" s="246"/>
      <c r="E47" s="246"/>
      <c r="F47" s="246"/>
      <c r="G47" s="246"/>
      <c r="H47" s="246"/>
      <c r="I47" s="246"/>
      <c r="J47" s="267"/>
      <c r="K47" s="246"/>
    </row>
    <row r="48" spans="2:15" x14ac:dyDescent="0.2">
      <c r="C48" s="266"/>
      <c r="D48" s="246"/>
      <c r="E48" s="246"/>
      <c r="F48" s="246"/>
      <c r="G48" s="246"/>
      <c r="H48" s="246"/>
      <c r="I48" s="246"/>
      <c r="J48" s="267"/>
      <c r="K48" s="246"/>
    </row>
    <row r="49" spans="2:14" x14ac:dyDescent="0.2">
      <c r="C49" s="268"/>
      <c r="D49" s="269"/>
      <c r="E49" s="269"/>
      <c r="F49" s="269"/>
      <c r="G49" s="269"/>
      <c r="H49" s="269"/>
      <c r="I49" s="269"/>
      <c r="J49" s="270"/>
      <c r="K49" s="246"/>
      <c r="L49" s="250"/>
      <c r="M49" s="250"/>
      <c r="N49" s="250"/>
    </row>
    <row r="50" spans="2:14" ht="18.75" x14ac:dyDescent="0.2">
      <c r="L50" s="251" t="s">
        <v>33</v>
      </c>
    </row>
    <row r="51" spans="2:14" ht="18.75" x14ac:dyDescent="0.2">
      <c r="B51" s="252"/>
      <c r="C51" s="263" t="s">
        <v>32</v>
      </c>
      <c r="D51" s="264"/>
      <c r="E51" s="264"/>
      <c r="F51" s="264"/>
      <c r="G51" s="264"/>
      <c r="H51" s="264"/>
      <c r="I51" s="264"/>
      <c r="J51" s="265"/>
      <c r="K51" s="246"/>
    </row>
    <row r="52" spans="2:14" ht="18.75" x14ac:dyDescent="0.2">
      <c r="C52" s="266"/>
      <c r="D52" s="249"/>
      <c r="E52" s="249"/>
      <c r="F52" s="249"/>
      <c r="G52" s="249"/>
      <c r="H52" s="246"/>
      <c r="I52" s="246"/>
      <c r="J52" s="267"/>
      <c r="K52" s="246"/>
    </row>
    <row r="53" spans="2:14" x14ac:dyDescent="0.2">
      <c r="C53" s="266"/>
      <c r="D53" s="246"/>
      <c r="E53" s="246"/>
      <c r="F53" s="246"/>
      <c r="G53" s="246"/>
      <c r="H53" s="246"/>
      <c r="I53" s="246"/>
      <c r="J53" s="267"/>
      <c r="K53" s="246"/>
    </row>
    <row r="54" spans="2:14" x14ac:dyDescent="0.2">
      <c r="C54" s="266"/>
      <c r="D54" s="246"/>
      <c r="E54" s="246"/>
      <c r="F54" s="246"/>
      <c r="G54" s="246"/>
      <c r="H54" s="246"/>
      <c r="I54" s="246"/>
      <c r="J54" s="267"/>
      <c r="K54" s="246"/>
    </row>
    <row r="55" spans="2:14" x14ac:dyDescent="0.2">
      <c r="C55" s="268"/>
      <c r="D55" s="269"/>
      <c r="E55" s="269"/>
      <c r="F55" s="269"/>
      <c r="G55" s="269"/>
      <c r="H55" s="269"/>
      <c r="I55" s="269"/>
      <c r="J55" s="270"/>
      <c r="K55" s="246"/>
      <c r="L55" s="250"/>
      <c r="M55" s="250"/>
      <c r="N55" s="250"/>
    </row>
    <row r="56" spans="2:14" ht="28.5" customHeight="1" x14ac:dyDescent="0.2">
      <c r="L56" s="251" t="s">
        <v>34</v>
      </c>
    </row>
  </sheetData>
  <mergeCells count="38">
    <mergeCell ref="G29:M29"/>
    <mergeCell ref="G14:M14"/>
    <mergeCell ref="G15:M15"/>
    <mergeCell ref="G17:M17"/>
    <mergeCell ref="G16:M16"/>
    <mergeCell ref="G20:M20"/>
    <mergeCell ref="G21:M21"/>
    <mergeCell ref="G22:M22"/>
    <mergeCell ref="G23:M23"/>
    <mergeCell ref="G26:M26"/>
    <mergeCell ref="G27:M27"/>
    <mergeCell ref="G28:M28"/>
    <mergeCell ref="C8:D8"/>
    <mergeCell ref="E7:F7"/>
    <mergeCell ref="E8:F8"/>
    <mergeCell ref="E9:F9"/>
    <mergeCell ref="E10:F10"/>
    <mergeCell ref="K7:M7"/>
    <mergeCell ref="I10:J10"/>
    <mergeCell ref="O9:P9"/>
    <mergeCell ref="I9:M9"/>
    <mergeCell ref="K10:M10"/>
    <mergeCell ref="B2:M2"/>
    <mergeCell ref="C5:F5"/>
    <mergeCell ref="E6:F6"/>
    <mergeCell ref="E11:F11"/>
    <mergeCell ref="O10:P10"/>
    <mergeCell ref="I11:J11"/>
    <mergeCell ref="K11:M11"/>
    <mergeCell ref="C6:D6"/>
    <mergeCell ref="C7:D7"/>
    <mergeCell ref="I5:M5"/>
    <mergeCell ref="I6:J6"/>
    <mergeCell ref="K6:M6"/>
    <mergeCell ref="I7:J7"/>
    <mergeCell ref="I8:J8"/>
    <mergeCell ref="K8:M8"/>
    <mergeCell ref="O8:P8"/>
  </mergeCells>
  <dataValidations disablePrompts="1" count="1">
    <dataValidation type="list" allowBlank="1" showInputMessage="1" showErrorMessage="1" sqref="S7">
      <formula1>"Yes, No"</formula1>
    </dataValidation>
  </dataValidations>
  <pageMargins left="0.35416666666666669" right="0.35416666666666669" top="0.39374999999999999" bottom="0.39374999999999999" header="0.51180555555555551" footer="0.31527777777777777"/>
  <pageSetup paperSize="9" scale="65" firstPageNumber="0" orientation="portrait" r:id="rId1"/>
  <headerFooter alignWithMargins="0">
    <oddFooter>&amp;Cpage &amp;P / &amp;N</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'Grade &amp; Title'!$B$2:$B$25</xm:f>
          </x14:formula1>
          <xm:sqref>E8:F8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pageSetUpPr fitToPage="1"/>
  </sheetPr>
  <dimension ref="B1:N89"/>
  <sheetViews>
    <sheetView topLeftCell="A38" zoomScale="55" zoomScaleNormal="55" zoomScaleSheetLayoutView="70" workbookViewId="0">
      <selection activeCell="P50" sqref="P50"/>
    </sheetView>
  </sheetViews>
  <sheetFormatPr defaultRowHeight="14.25" x14ac:dyDescent="0.2"/>
  <cols>
    <col min="1" max="1" width="1" customWidth="1"/>
    <col min="2" max="2" width="5.5" customWidth="1"/>
    <col min="3" max="3" width="45" customWidth="1"/>
    <col min="4" max="4" width="11" customWidth="1"/>
    <col min="5" max="5" width="45" customWidth="1"/>
    <col min="6" max="6" width="6.5" customWidth="1"/>
    <col min="7" max="7" width="6.375" customWidth="1"/>
    <col min="8" max="8" width="8.375" customWidth="1"/>
    <col min="9" max="9" width="45" customWidth="1"/>
    <col min="10" max="11" width="6.5" customWidth="1"/>
    <col min="12" max="12" width="7.75" customWidth="1"/>
    <col min="13" max="13" width="8" customWidth="1"/>
    <col min="14" max="14" width="11.375" customWidth="1"/>
  </cols>
  <sheetData>
    <row r="1" spans="2:13" ht="30" x14ac:dyDescent="0.2">
      <c r="B1" s="1"/>
      <c r="C1" s="2" t="s">
        <v>272</v>
      </c>
      <c r="D1" s="3"/>
      <c r="E1" s="3"/>
      <c r="F1" s="3"/>
      <c r="G1" s="3"/>
      <c r="H1" s="3"/>
      <c r="I1" s="3"/>
      <c r="J1" s="3"/>
      <c r="K1" s="3"/>
      <c r="L1" s="3"/>
      <c r="M1" s="4"/>
    </row>
    <row r="3" spans="2:13" x14ac:dyDescent="0.2">
      <c r="C3" s="5" t="s">
        <v>0</v>
      </c>
      <c r="E3" s="5" t="s">
        <v>1</v>
      </c>
      <c r="F3" s="6"/>
      <c r="G3" s="6"/>
      <c r="I3" s="5" t="s">
        <v>2</v>
      </c>
      <c r="J3" s="6"/>
      <c r="K3" s="6"/>
    </row>
    <row r="4" spans="2:13" x14ac:dyDescent="0.2">
      <c r="C4" s="7" t="s">
        <v>3</v>
      </c>
      <c r="E4" s="7" t="s">
        <v>3</v>
      </c>
      <c r="F4" s="8"/>
      <c r="G4" s="8"/>
      <c r="I4" s="7" t="s">
        <v>3</v>
      </c>
      <c r="J4" s="8"/>
      <c r="K4" s="8"/>
    </row>
    <row r="5" spans="2:13" x14ac:dyDescent="0.2">
      <c r="C5" s="7" t="s">
        <v>211</v>
      </c>
      <c r="E5" s="7" t="s">
        <v>211</v>
      </c>
      <c r="F5" s="8"/>
      <c r="G5" s="8"/>
      <c r="I5" s="7" t="s">
        <v>211</v>
      </c>
      <c r="J5" s="8"/>
      <c r="K5" s="8"/>
    </row>
    <row r="6" spans="2:13" x14ac:dyDescent="0.2">
      <c r="C6" s="224" t="s">
        <v>209</v>
      </c>
      <c r="E6" s="7" t="s">
        <v>4</v>
      </c>
      <c r="F6" s="8"/>
      <c r="G6" s="8"/>
      <c r="I6" s="7" t="s">
        <v>4</v>
      </c>
      <c r="J6" s="8"/>
      <c r="K6" s="8"/>
    </row>
    <row r="7" spans="2:13" x14ac:dyDescent="0.2">
      <c r="C7" s="7" t="s">
        <v>4</v>
      </c>
      <c r="E7" s="7" t="s">
        <v>5</v>
      </c>
      <c r="F7" s="8"/>
      <c r="G7" s="8"/>
      <c r="I7" s="7" t="s">
        <v>5</v>
      </c>
      <c r="J7" s="8"/>
      <c r="K7" s="8"/>
    </row>
    <row r="8" spans="2:13" ht="15" thickBot="1" x14ac:dyDescent="0.25">
      <c r="C8" s="7" t="s">
        <v>5</v>
      </c>
      <c r="E8" s="9" t="s">
        <v>6</v>
      </c>
      <c r="F8" s="8"/>
      <c r="G8" s="8"/>
      <c r="I8" s="9" t="s">
        <v>6</v>
      </c>
      <c r="J8" s="8"/>
      <c r="K8" s="8"/>
    </row>
    <row r="9" spans="2:13" ht="15" thickBot="1" x14ac:dyDescent="0.25">
      <c r="C9" s="9" t="s">
        <v>6</v>
      </c>
      <c r="F9" s="8"/>
      <c r="G9" s="8"/>
      <c r="J9" s="8"/>
      <c r="K9" s="8"/>
    </row>
    <row r="10" spans="2:13" x14ac:dyDescent="0.2">
      <c r="C10" s="8"/>
      <c r="E10" s="8"/>
      <c r="F10" s="8"/>
      <c r="G10" s="8"/>
      <c r="I10" s="8"/>
      <c r="J10" s="8"/>
      <c r="K10" s="8"/>
    </row>
    <row r="11" spans="2:13" ht="18.75" thickBot="1" x14ac:dyDescent="0.25">
      <c r="B11" s="10" t="s">
        <v>7</v>
      </c>
      <c r="C11" s="8"/>
      <c r="E11" s="8"/>
      <c r="F11" s="8"/>
      <c r="G11" s="8"/>
      <c r="I11" s="8"/>
      <c r="J11" s="8"/>
      <c r="K11" s="8"/>
    </row>
    <row r="12" spans="2:13" ht="24" customHeight="1" x14ac:dyDescent="0.2">
      <c r="B12" s="11"/>
      <c r="C12" s="346" t="s">
        <v>213</v>
      </c>
      <c r="D12" s="347"/>
      <c r="E12" s="347"/>
      <c r="F12" s="347"/>
      <c r="G12" s="347"/>
      <c r="H12" s="347"/>
      <c r="I12" s="347"/>
      <c r="J12" s="347"/>
      <c r="K12" s="347"/>
      <c r="L12" s="347"/>
      <c r="M12" s="348"/>
    </row>
    <row r="13" spans="2:13" ht="26.25" customHeight="1" x14ac:dyDescent="0.2">
      <c r="B13" s="12"/>
      <c r="C13" s="349" t="s">
        <v>212</v>
      </c>
      <c r="D13" s="350"/>
      <c r="E13" s="350"/>
      <c r="F13" s="350"/>
      <c r="G13" s="350"/>
      <c r="H13" s="350"/>
      <c r="I13" s="350"/>
      <c r="J13" s="350"/>
      <c r="K13" s="350"/>
      <c r="L13" s="350"/>
      <c r="M13" s="351"/>
    </row>
    <row r="14" spans="2:13" ht="29.25" customHeight="1" thickBot="1" x14ac:dyDescent="0.25">
      <c r="B14" s="13"/>
      <c r="C14" s="352" t="s">
        <v>214</v>
      </c>
      <c r="D14" s="353"/>
      <c r="E14" s="353"/>
      <c r="F14" s="353"/>
      <c r="G14" s="353"/>
      <c r="H14" s="353"/>
      <c r="I14" s="353"/>
      <c r="J14" s="353"/>
      <c r="K14" s="353"/>
      <c r="L14" s="353"/>
      <c r="M14" s="354"/>
    </row>
    <row r="15" spans="2:13" x14ac:dyDescent="0.2">
      <c r="B15" s="8"/>
      <c r="C15" s="14"/>
      <c r="D15" s="14"/>
      <c r="E15" s="14"/>
      <c r="F15" s="14"/>
      <c r="G15" s="14"/>
      <c r="H15" s="14"/>
      <c r="I15" s="14"/>
      <c r="J15" s="14"/>
      <c r="K15" s="14"/>
      <c r="L15" s="14"/>
      <c r="M15" s="14"/>
    </row>
    <row r="16" spans="2:13" ht="18.75" thickBot="1" x14ac:dyDescent="0.25">
      <c r="B16" s="10" t="s">
        <v>8</v>
      </c>
    </row>
    <row r="17" spans="2:14" x14ac:dyDescent="0.2">
      <c r="B17" s="15"/>
      <c r="C17" s="16"/>
      <c r="D17" s="16"/>
      <c r="E17" s="17" t="s">
        <v>0</v>
      </c>
      <c r="F17" s="16"/>
      <c r="G17" s="16"/>
      <c r="H17" s="18"/>
      <c r="I17" s="17" t="s">
        <v>1</v>
      </c>
      <c r="J17" s="16"/>
      <c r="K17" s="16"/>
      <c r="L17" s="16"/>
      <c r="M17" s="19" t="s">
        <v>9</v>
      </c>
    </row>
    <row r="18" spans="2:14" ht="29.25" thickBot="1" x14ac:dyDescent="0.25">
      <c r="B18" s="20" t="s">
        <v>10</v>
      </c>
      <c r="C18" s="21" t="s">
        <v>11</v>
      </c>
      <c r="D18" s="22" t="s">
        <v>12</v>
      </c>
      <c r="E18" s="23" t="s">
        <v>13</v>
      </c>
      <c r="F18" s="24" t="s">
        <v>14</v>
      </c>
      <c r="G18" s="24" t="s">
        <v>15</v>
      </c>
      <c r="H18" s="22" t="s">
        <v>16</v>
      </c>
      <c r="I18" s="23" t="s">
        <v>13</v>
      </c>
      <c r="J18" s="24" t="s">
        <v>14</v>
      </c>
      <c r="K18" s="24" t="s">
        <v>15</v>
      </c>
      <c r="L18" s="24" t="s">
        <v>16</v>
      </c>
      <c r="M18" s="25" t="s">
        <v>16</v>
      </c>
    </row>
    <row r="19" spans="2:14" ht="61.5" customHeight="1" x14ac:dyDescent="0.2">
      <c r="B19" s="33">
        <v>1</v>
      </c>
      <c r="C19" s="355" t="s">
        <v>210</v>
      </c>
      <c r="D19" s="311">
        <v>0.1</v>
      </c>
      <c r="E19" s="35"/>
      <c r="F19" s="36"/>
      <c r="G19" s="36"/>
      <c r="H19" s="37"/>
      <c r="I19" s="35"/>
      <c r="J19" s="36"/>
      <c r="K19" s="36"/>
      <c r="L19" s="38"/>
      <c r="M19" s="39"/>
      <c r="N19" s="27"/>
    </row>
    <row r="20" spans="2:14" ht="88.5" customHeight="1" x14ac:dyDescent="0.2">
      <c r="B20" s="28"/>
      <c r="C20" s="356"/>
      <c r="D20" s="30"/>
      <c r="E20" s="31"/>
      <c r="F20" s="41">
        <v>3</v>
      </c>
      <c r="G20" s="300"/>
      <c r="H20" s="304">
        <f>$D19*F20*G20</f>
        <v>0</v>
      </c>
      <c r="I20" s="31"/>
      <c r="J20" s="32">
        <v>3</v>
      </c>
      <c r="K20" s="303"/>
      <c r="L20" s="304">
        <f>$D19*J20*K20</f>
        <v>0</v>
      </c>
      <c r="M20" s="308"/>
      <c r="N20" s="27"/>
    </row>
    <row r="21" spans="2:14" ht="57" customHeight="1" x14ac:dyDescent="0.2">
      <c r="B21" s="33">
        <v>2</v>
      </c>
      <c r="C21" s="357" t="s">
        <v>134</v>
      </c>
      <c r="D21" s="202">
        <v>0.1</v>
      </c>
      <c r="E21" s="35"/>
      <c r="F21" s="36"/>
      <c r="G21" s="301"/>
      <c r="H21" s="305"/>
      <c r="I21" s="35"/>
      <c r="J21" s="36"/>
      <c r="K21" s="301"/>
      <c r="L21" s="307"/>
      <c r="M21" s="309"/>
      <c r="N21" s="27"/>
    </row>
    <row r="22" spans="2:14" ht="57.75" customHeight="1" x14ac:dyDescent="0.2">
      <c r="B22" s="28"/>
      <c r="C22" s="356"/>
      <c r="D22" s="30"/>
      <c r="E22" s="31"/>
      <c r="F22" s="41"/>
      <c r="G22" s="300"/>
      <c r="H22" s="304">
        <f>$D21*F22*G22</f>
        <v>0</v>
      </c>
      <c r="I22" s="31"/>
      <c r="J22" s="32"/>
      <c r="K22" s="303"/>
      <c r="L22" s="304">
        <f>$D21*J22*K22</f>
        <v>0</v>
      </c>
      <c r="M22" s="308"/>
      <c r="N22" s="27"/>
    </row>
    <row r="23" spans="2:14" ht="42.75" customHeight="1" x14ac:dyDescent="0.2">
      <c r="B23" s="33">
        <v>3</v>
      </c>
      <c r="C23" s="201" t="str">
        <f>'Task #B1'!B$5</f>
        <v>&lt;Task #B1: Please describe in specific about the work task with overall targets: (1) What the task is about? (2) What are your overall targets?&gt;</v>
      </c>
      <c r="D23" s="34">
        <v>0.1</v>
      </c>
      <c r="E23" s="35"/>
      <c r="F23" s="36"/>
      <c r="G23" s="301"/>
      <c r="H23" s="305"/>
      <c r="I23" s="35"/>
      <c r="J23" s="36"/>
      <c r="K23" s="301"/>
      <c r="L23" s="307"/>
      <c r="M23" s="309"/>
      <c r="N23" s="27"/>
    </row>
    <row r="24" spans="2:14" ht="43.5" customHeight="1" x14ac:dyDescent="0.2">
      <c r="B24" s="28"/>
      <c r="C24" s="29"/>
      <c r="D24" s="30"/>
      <c r="E24" s="31"/>
      <c r="F24" s="41"/>
      <c r="G24" s="300">
        <f>'Task #B1'!F$35</f>
        <v>2.8200000000000003</v>
      </c>
      <c r="H24" s="304">
        <f>$D23*F24*G24</f>
        <v>0</v>
      </c>
      <c r="I24" s="31"/>
      <c r="J24" s="32"/>
      <c r="K24" s="303">
        <f>'Task #B1'!H$35</f>
        <v>2.8200000000000003</v>
      </c>
      <c r="L24" s="304">
        <f>$D23*J24*K24</f>
        <v>0</v>
      </c>
      <c r="M24" s="308"/>
      <c r="N24" s="27"/>
    </row>
    <row r="25" spans="2:14" ht="45" customHeight="1" x14ac:dyDescent="0.2">
      <c r="B25" s="33">
        <v>4</v>
      </c>
      <c r="C25" s="201" t="str">
        <f>'Task #B2'!B$5</f>
        <v>&lt;Task #B2: Please describe in specific about the work task with overall targets: (1) What the task is about? (2) What are your overall targets?&gt;</v>
      </c>
      <c r="D25" s="34">
        <v>0.2</v>
      </c>
      <c r="E25" s="35"/>
      <c r="F25" s="36"/>
      <c r="G25" s="301"/>
      <c r="H25" s="305"/>
      <c r="I25" s="35"/>
      <c r="J25" s="36"/>
      <c r="K25" s="301"/>
      <c r="L25" s="307"/>
      <c r="M25" s="309"/>
      <c r="N25" s="40"/>
    </row>
    <row r="26" spans="2:14" ht="42.75" customHeight="1" x14ac:dyDescent="0.2">
      <c r="B26" s="28"/>
      <c r="C26" s="29"/>
      <c r="D26" s="30"/>
      <c r="E26" s="31"/>
      <c r="F26" s="41"/>
      <c r="G26" s="300">
        <f>'Task #B2'!F$35</f>
        <v>2.4499999999999993</v>
      </c>
      <c r="H26" s="304">
        <f>$D25*F26*G26</f>
        <v>0</v>
      </c>
      <c r="I26" s="31"/>
      <c r="J26" s="32"/>
      <c r="K26" s="303">
        <f>'Task #B2'!H$35</f>
        <v>2.7</v>
      </c>
      <c r="L26" s="304">
        <f>$D25*J26*K26</f>
        <v>0</v>
      </c>
      <c r="M26" s="308"/>
      <c r="N26" s="27"/>
    </row>
    <row r="27" spans="2:14" ht="42.75" customHeight="1" x14ac:dyDescent="0.2">
      <c r="B27" s="26">
        <v>5</v>
      </c>
      <c r="C27" s="201" t="str">
        <f>'Task #B3'!B$5</f>
        <v>&lt;Task #B3: Please describe in specific about the work task with overall targets: (1) What the task is about? (2) What are your overall targets?&gt;</v>
      </c>
      <c r="D27" s="34">
        <v>0.2</v>
      </c>
      <c r="E27" s="35"/>
      <c r="F27" s="43"/>
      <c r="G27" s="302"/>
      <c r="H27" s="306"/>
      <c r="I27" s="35"/>
      <c r="J27" s="36"/>
      <c r="K27" s="301"/>
      <c r="L27" s="307"/>
      <c r="M27" s="309"/>
      <c r="N27" s="27"/>
    </row>
    <row r="28" spans="2:14" ht="42.75" customHeight="1" x14ac:dyDescent="0.2">
      <c r="B28" s="26"/>
      <c r="C28" s="29"/>
      <c r="D28" s="68"/>
      <c r="E28" s="80"/>
      <c r="F28" s="207"/>
      <c r="G28" s="300">
        <f>'Task #B3'!F$35</f>
        <v>2.72</v>
      </c>
      <c r="H28" s="304">
        <f>$D27*F28*G28</f>
        <v>0</v>
      </c>
      <c r="I28" s="31"/>
      <c r="J28" s="32"/>
      <c r="K28" s="303">
        <f>'Task #B3'!H$35</f>
        <v>2.92</v>
      </c>
      <c r="L28" s="304">
        <f>$D27*J28*K28</f>
        <v>0</v>
      </c>
      <c r="M28" s="308"/>
      <c r="N28" s="27"/>
    </row>
    <row r="29" spans="2:14" ht="42.75" customHeight="1" x14ac:dyDescent="0.2">
      <c r="B29" s="33">
        <v>6</v>
      </c>
      <c r="C29" s="201" t="str">
        <f>'Task #B4'!B$5</f>
        <v>&lt;Task #B4: Please describe in specific about the work task with overall targets: (1) What the task is about? (2) What are your overall targets?&gt;</v>
      </c>
      <c r="D29" s="34">
        <v>0.1</v>
      </c>
      <c r="E29" s="35"/>
      <c r="F29" s="43"/>
      <c r="G29" s="302"/>
      <c r="H29" s="306"/>
      <c r="I29" s="35"/>
      <c r="J29" s="36"/>
      <c r="K29" s="301"/>
      <c r="L29" s="307"/>
      <c r="M29" s="309"/>
      <c r="N29" s="27"/>
    </row>
    <row r="30" spans="2:14" ht="42.75" customHeight="1" x14ac:dyDescent="0.2">
      <c r="B30" s="26"/>
      <c r="C30" s="297"/>
      <c r="D30" s="68"/>
      <c r="E30" s="80"/>
      <c r="F30" s="207"/>
      <c r="G30" s="300">
        <f>'Task #B4'!F$35</f>
        <v>3</v>
      </c>
      <c r="H30" s="304">
        <f>$D29*F30*G30</f>
        <v>0</v>
      </c>
      <c r="I30" s="31"/>
      <c r="J30" s="32"/>
      <c r="K30" s="303">
        <f>'Task #B4'!H$35</f>
        <v>3</v>
      </c>
      <c r="L30" s="304">
        <f>$D29*J30*K30</f>
        <v>0</v>
      </c>
      <c r="M30" s="308"/>
      <c r="N30" s="27"/>
    </row>
    <row r="31" spans="2:14" ht="42.75" customHeight="1" x14ac:dyDescent="0.2">
      <c r="B31" s="33">
        <v>7</v>
      </c>
      <c r="C31" s="201" t="str">
        <f>'Task #B5'!B$5</f>
        <v>&lt;Task #B5: Please describe in specific about the work task with overall targets: (1) What the task is about? (2) What are your overall targets?&gt;</v>
      </c>
      <c r="D31" s="34">
        <v>0.2</v>
      </c>
      <c r="E31" s="35"/>
      <c r="F31" s="43"/>
      <c r="G31" s="302"/>
      <c r="H31" s="306"/>
      <c r="I31" s="35"/>
      <c r="J31" s="36"/>
      <c r="K31" s="301"/>
      <c r="L31" s="307"/>
      <c r="M31" s="309"/>
      <c r="N31" s="27"/>
    </row>
    <row r="32" spans="2:14" ht="42.75" customHeight="1" thickBot="1" x14ac:dyDescent="0.25">
      <c r="B32" s="28"/>
      <c r="C32" s="29"/>
      <c r="D32" s="30"/>
      <c r="E32" s="31"/>
      <c r="F32" s="32"/>
      <c r="G32" s="300">
        <f>'Task #B5'!F$35</f>
        <v>2.7499999999999996</v>
      </c>
      <c r="H32" s="304">
        <f>$D31*F32*G32</f>
        <v>0</v>
      </c>
      <c r="I32" s="31"/>
      <c r="J32" s="32"/>
      <c r="K32" s="303">
        <f>'Task #B5'!H$35</f>
        <v>2.8499999999999996</v>
      </c>
      <c r="L32" s="304">
        <f>$D31*J32*K32</f>
        <v>0</v>
      </c>
      <c r="M32" s="308"/>
      <c r="N32" s="27"/>
    </row>
    <row r="33" spans="2:14" ht="42.75" hidden="1" customHeight="1" x14ac:dyDescent="0.2">
      <c r="B33" s="33"/>
      <c r="C33" s="201"/>
      <c r="D33" s="34"/>
      <c r="E33" s="35"/>
      <c r="F33" s="43"/>
      <c r="G33" s="43"/>
      <c r="H33" s="44"/>
      <c r="I33" s="35"/>
      <c r="J33" s="36"/>
      <c r="K33" s="36"/>
      <c r="L33" s="38"/>
      <c r="M33" s="309"/>
      <c r="N33" s="27"/>
    </row>
    <row r="34" spans="2:14" ht="42.75" hidden="1" customHeight="1" thickBot="1" x14ac:dyDescent="0.25">
      <c r="B34" s="28"/>
      <c r="C34" s="29"/>
      <c r="D34" s="30"/>
      <c r="E34" s="31"/>
      <c r="F34" s="32"/>
      <c r="G34" s="41"/>
      <c r="H34" s="42"/>
      <c r="I34" s="31"/>
      <c r="J34" s="32"/>
      <c r="K34" s="32"/>
      <c r="L34" s="42"/>
      <c r="M34" s="308"/>
      <c r="N34" s="27"/>
    </row>
    <row r="35" spans="2:14" ht="22.5" customHeight="1" thickBot="1" x14ac:dyDescent="0.25">
      <c r="B35" s="194"/>
      <c r="C35" s="197"/>
      <c r="D35" s="198">
        <f>SUM(D19:D32)</f>
        <v>1</v>
      </c>
      <c r="E35" s="197"/>
      <c r="F35" s="197"/>
      <c r="G35" s="197"/>
      <c r="H35" s="310">
        <f>SUM(H20,H22,H24,H26,H28,H30,H32)</f>
        <v>0</v>
      </c>
      <c r="I35" s="197"/>
      <c r="J35" s="197"/>
      <c r="K35" s="197"/>
      <c r="L35" s="310">
        <f>SUM(L20,L22,L24,L26,L28,L30,L32)</f>
        <v>0</v>
      </c>
      <c r="M35" s="310">
        <f>SUM(M20,M22,M24,M26,M28,M30,M32)</f>
        <v>0</v>
      </c>
      <c r="N35" s="27"/>
    </row>
    <row r="37" spans="2:14" ht="18.75" thickBot="1" x14ac:dyDescent="0.25">
      <c r="B37" s="10" t="s">
        <v>17</v>
      </c>
    </row>
    <row r="38" spans="2:14" x14ac:dyDescent="0.2">
      <c r="B38" s="158"/>
      <c r="C38" s="159"/>
      <c r="D38" s="159"/>
      <c r="E38" s="160" t="s">
        <v>0</v>
      </c>
      <c r="F38" s="159"/>
      <c r="G38" s="159"/>
      <c r="H38" s="161"/>
      <c r="I38" s="160" t="s">
        <v>1</v>
      </c>
      <c r="J38" s="159"/>
      <c r="K38" s="159"/>
      <c r="L38" s="175"/>
      <c r="M38" s="169" t="s">
        <v>9</v>
      </c>
    </row>
    <row r="39" spans="2:14" ht="29.25" thickBot="1" x14ac:dyDescent="0.25">
      <c r="B39" s="176" t="s">
        <v>18</v>
      </c>
      <c r="C39" s="298" t="s">
        <v>19</v>
      </c>
      <c r="D39" s="178"/>
      <c r="E39" s="343" t="s">
        <v>13</v>
      </c>
      <c r="F39" s="344"/>
      <c r="G39" s="345"/>
      <c r="H39" s="179" t="s">
        <v>16</v>
      </c>
      <c r="I39" s="343" t="s">
        <v>13</v>
      </c>
      <c r="J39" s="343"/>
      <c r="K39" s="343"/>
      <c r="L39" s="180" t="s">
        <v>16</v>
      </c>
      <c r="M39" s="170" t="s">
        <v>16</v>
      </c>
    </row>
    <row r="40" spans="2:14" ht="69.75" customHeight="1" x14ac:dyDescent="0.2">
      <c r="B40" s="171">
        <v>1</v>
      </c>
      <c r="C40" s="172" t="s">
        <v>158</v>
      </c>
      <c r="D40" s="173"/>
      <c r="E40" s="358"/>
      <c r="F40" s="359"/>
      <c r="G40" s="360"/>
      <c r="H40" s="174"/>
      <c r="I40" s="361"/>
      <c r="J40" s="362"/>
      <c r="K40" s="362"/>
      <c r="L40" s="174"/>
      <c r="M40" s="162"/>
    </row>
    <row r="41" spans="2:14" ht="45" customHeight="1" x14ac:dyDescent="0.2">
      <c r="B41" s="163">
        <v>2</v>
      </c>
      <c r="C41" s="48" t="s">
        <v>156</v>
      </c>
      <c r="D41" s="49"/>
      <c r="E41" s="363"/>
      <c r="F41" s="364"/>
      <c r="G41" s="365"/>
      <c r="H41" s="157"/>
      <c r="I41" s="364"/>
      <c r="J41" s="363"/>
      <c r="K41" s="363"/>
      <c r="L41" s="157"/>
      <c r="M41" s="162"/>
    </row>
    <row r="42" spans="2:14" ht="108" customHeight="1" x14ac:dyDescent="0.2">
      <c r="B42" s="163">
        <v>3</v>
      </c>
      <c r="C42" s="48" t="s">
        <v>157</v>
      </c>
      <c r="D42" s="49"/>
      <c r="E42" s="363"/>
      <c r="F42" s="364"/>
      <c r="G42" s="365"/>
      <c r="H42" s="157"/>
      <c r="I42" s="364"/>
      <c r="J42" s="363"/>
      <c r="K42" s="363"/>
      <c r="L42" s="157"/>
      <c r="M42" s="162"/>
    </row>
    <row r="43" spans="2:14" ht="111" customHeight="1" x14ac:dyDescent="0.2">
      <c r="B43" s="163">
        <v>4</v>
      </c>
      <c r="C43" s="48" t="s">
        <v>159</v>
      </c>
      <c r="D43" s="49"/>
      <c r="E43" s="363"/>
      <c r="F43" s="364"/>
      <c r="G43" s="365"/>
      <c r="H43" s="157"/>
      <c r="I43" s="364"/>
      <c r="J43" s="363"/>
      <c r="K43" s="363"/>
      <c r="L43" s="157"/>
      <c r="M43" s="162"/>
    </row>
    <row r="44" spans="2:14" ht="78.75" customHeight="1" thickBot="1" x14ac:dyDescent="0.25">
      <c r="B44" s="164">
        <v>5</v>
      </c>
      <c r="C44" s="50" t="s">
        <v>160</v>
      </c>
      <c r="D44" s="51"/>
      <c r="E44" s="370"/>
      <c r="F44" s="371"/>
      <c r="G44" s="372"/>
      <c r="H44" s="157"/>
      <c r="I44" s="371"/>
      <c r="J44" s="370"/>
      <c r="K44" s="370"/>
      <c r="L44" s="157"/>
      <c r="M44" s="162"/>
    </row>
    <row r="45" spans="2:14" ht="18.75" thickBot="1" x14ac:dyDescent="0.25">
      <c r="B45" s="165"/>
      <c r="C45" s="199" t="s">
        <v>165</v>
      </c>
      <c r="D45" s="166"/>
      <c r="E45" s="167"/>
      <c r="F45" s="167"/>
      <c r="G45" s="168"/>
      <c r="H45" s="200">
        <f>IF(SUM(H40:H44)&gt;0, AVERAGEA(H40:H44), 0)</f>
        <v>0</v>
      </c>
      <c r="I45" s="167"/>
      <c r="J45" s="167"/>
      <c r="K45" s="167"/>
      <c r="L45" s="200">
        <f>IF(SUM(L40:L44)&gt;0, AVERAGEA(L40:L44), 0)</f>
        <v>0</v>
      </c>
      <c r="M45" s="200">
        <f>IF(SUM(M40:M44)&gt;0, AVERAGEA(M40:M44), 0)</f>
        <v>0</v>
      </c>
    </row>
    <row r="47" spans="2:14" ht="19.5" thickBot="1" x14ac:dyDescent="0.25">
      <c r="B47" s="10" t="s">
        <v>195</v>
      </c>
      <c r="E47" s="52"/>
      <c r="F47" s="8"/>
      <c r="G47" s="8"/>
      <c r="H47" s="8"/>
      <c r="I47" s="8"/>
      <c r="J47" s="8"/>
      <c r="K47" s="8"/>
    </row>
    <row r="48" spans="2:14" ht="15" x14ac:dyDescent="0.2">
      <c r="B48" s="181" t="s">
        <v>20</v>
      </c>
      <c r="C48" s="183" t="s">
        <v>19</v>
      </c>
      <c r="D48" s="184"/>
      <c r="E48" s="214"/>
      <c r="F48" s="215"/>
      <c r="G48" s="215"/>
      <c r="H48" s="216"/>
      <c r="I48" s="182" t="s">
        <v>1</v>
      </c>
      <c r="J48" s="182"/>
      <c r="K48" s="182"/>
      <c r="L48" s="185"/>
      <c r="M48" s="196" t="s">
        <v>9</v>
      </c>
    </row>
    <row r="49" spans="2:13" ht="15" thickBot="1" x14ac:dyDescent="0.25">
      <c r="B49" s="188"/>
      <c r="C49" s="189"/>
      <c r="D49" s="190"/>
      <c r="E49" s="217"/>
      <c r="F49" s="218"/>
      <c r="G49" s="218"/>
      <c r="H49" s="219"/>
      <c r="I49" s="299" t="s">
        <v>13</v>
      </c>
      <c r="J49" s="178"/>
      <c r="K49" s="178"/>
      <c r="L49" s="191"/>
      <c r="M49" s="191"/>
    </row>
    <row r="50" spans="2:13" ht="33.75" customHeight="1" x14ac:dyDescent="0.2">
      <c r="B50" s="186"/>
      <c r="C50" s="373" t="s">
        <v>163</v>
      </c>
      <c r="D50" s="374"/>
      <c r="E50" s="375" t="s">
        <v>196</v>
      </c>
      <c r="F50" s="376"/>
      <c r="G50" s="376"/>
      <c r="H50" s="377"/>
      <c r="I50" s="381"/>
      <c r="J50" s="382"/>
      <c r="K50" s="382"/>
      <c r="L50" s="187"/>
      <c r="M50" s="187"/>
    </row>
    <row r="51" spans="2:13" ht="19.5" customHeight="1" x14ac:dyDescent="0.2">
      <c r="B51" s="186"/>
      <c r="C51" s="373" t="s">
        <v>162</v>
      </c>
      <c r="D51" s="374"/>
      <c r="E51" s="378"/>
      <c r="F51" s="379"/>
      <c r="G51" s="379"/>
      <c r="H51" s="380"/>
      <c r="I51" s="383"/>
      <c r="J51" s="384"/>
      <c r="K51" s="384"/>
      <c r="L51" s="162"/>
      <c r="M51" s="162"/>
    </row>
    <row r="52" spans="2:13" ht="31.5" customHeight="1" x14ac:dyDescent="0.2">
      <c r="B52" s="186"/>
      <c r="C52" s="373" t="s">
        <v>161</v>
      </c>
      <c r="D52" s="374"/>
      <c r="E52" s="378"/>
      <c r="F52" s="379"/>
      <c r="G52" s="379"/>
      <c r="H52" s="380"/>
      <c r="I52" s="383"/>
      <c r="J52" s="384"/>
      <c r="K52" s="384"/>
      <c r="L52" s="162"/>
      <c r="M52" s="162"/>
    </row>
    <row r="53" spans="2:13" ht="15" thickBot="1" x14ac:dyDescent="0.25">
      <c r="B53" s="186"/>
      <c r="C53" s="385"/>
      <c r="D53" s="386"/>
      <c r="E53" s="378"/>
      <c r="F53" s="379"/>
      <c r="G53" s="379"/>
      <c r="H53" s="380"/>
      <c r="I53" s="387"/>
      <c r="J53" s="388"/>
      <c r="K53" s="388"/>
      <c r="L53" s="193"/>
      <c r="M53" s="193"/>
    </row>
    <row r="54" spans="2:13" ht="15.75" thickBot="1" x14ac:dyDescent="0.25">
      <c r="B54" s="194"/>
      <c r="C54" s="366" t="s">
        <v>164</v>
      </c>
      <c r="D54" s="367"/>
      <c r="E54" s="220"/>
      <c r="F54" s="221"/>
      <c r="G54" s="221"/>
      <c r="H54" s="222"/>
      <c r="I54" s="368"/>
      <c r="J54" s="369"/>
      <c r="K54" s="369"/>
      <c r="L54" s="195">
        <f>MIN(SUM(L50:L53),1.5)</f>
        <v>0</v>
      </c>
      <c r="M54" s="195">
        <f>MIN(SUM(M50:M53),1.5)</f>
        <v>0</v>
      </c>
    </row>
    <row r="56" spans="2:13" ht="18.75" thickBot="1" x14ac:dyDescent="0.25">
      <c r="B56" s="10" t="s">
        <v>21</v>
      </c>
      <c r="E56" s="52"/>
      <c r="F56" s="8"/>
      <c r="G56" s="8"/>
      <c r="H56" s="8"/>
      <c r="I56" s="8"/>
      <c r="J56" s="8"/>
      <c r="K56" s="8"/>
    </row>
    <row r="57" spans="2:13" x14ac:dyDescent="0.2">
      <c r="B57" s="53" t="s">
        <v>20</v>
      </c>
      <c r="C57" s="54" t="s">
        <v>19</v>
      </c>
      <c r="D57" s="61" t="s">
        <v>22</v>
      </c>
      <c r="E57" s="55" t="s">
        <v>0</v>
      </c>
      <c r="F57" s="55"/>
      <c r="G57" s="55"/>
      <c r="H57" s="55"/>
      <c r="I57" s="54" t="s">
        <v>1</v>
      </c>
      <c r="J57" s="55"/>
      <c r="K57" s="55"/>
      <c r="L57" s="56"/>
    </row>
    <row r="58" spans="2:13" ht="15" thickBot="1" x14ac:dyDescent="0.25">
      <c r="B58" s="57"/>
      <c r="C58" s="58"/>
      <c r="D58" s="62"/>
      <c r="E58" s="23" t="s">
        <v>13</v>
      </c>
      <c r="F58" s="47"/>
      <c r="G58" s="47"/>
      <c r="H58" s="47"/>
      <c r="I58" s="23" t="s">
        <v>13</v>
      </c>
      <c r="J58" s="47"/>
      <c r="K58" s="47"/>
      <c r="L58" s="59"/>
    </row>
    <row r="59" spans="2:13" x14ac:dyDescent="0.2">
      <c r="B59" s="60">
        <v>1</v>
      </c>
      <c r="C59" s="63"/>
      <c r="D59" s="64"/>
      <c r="E59" s="65"/>
      <c r="F59" s="65"/>
      <c r="G59" s="65"/>
      <c r="H59" s="65"/>
      <c r="I59" s="63"/>
      <c r="J59" s="65"/>
      <c r="K59" s="65"/>
      <c r="L59" s="66"/>
    </row>
    <row r="60" spans="2:13" x14ac:dyDescent="0.2">
      <c r="B60" s="26">
        <v>2</v>
      </c>
      <c r="C60" s="67"/>
      <c r="D60" s="68"/>
      <c r="E60" s="8"/>
      <c r="F60" s="8"/>
      <c r="G60" s="8"/>
      <c r="H60" s="8"/>
      <c r="I60" s="67"/>
      <c r="J60" s="8"/>
      <c r="K60" s="8"/>
      <c r="L60" s="69"/>
    </row>
    <row r="61" spans="2:13" x14ac:dyDescent="0.2">
      <c r="B61" s="26">
        <v>3</v>
      </c>
      <c r="C61" s="67"/>
      <c r="D61" s="68"/>
      <c r="E61" s="8"/>
      <c r="F61" s="8"/>
      <c r="G61" s="8"/>
      <c r="H61" s="8"/>
      <c r="I61" s="67"/>
      <c r="J61" s="8"/>
      <c r="K61" s="8"/>
      <c r="L61" s="69"/>
    </row>
    <row r="62" spans="2:13" x14ac:dyDescent="0.2">
      <c r="B62" s="26">
        <v>4</v>
      </c>
      <c r="C62" s="67"/>
      <c r="D62" s="68"/>
      <c r="E62" s="8"/>
      <c r="F62" s="8"/>
      <c r="G62" s="8"/>
      <c r="H62" s="8"/>
      <c r="I62" s="67"/>
      <c r="J62" s="8"/>
      <c r="K62" s="8"/>
      <c r="L62" s="69"/>
    </row>
    <row r="63" spans="2:13" ht="15" thickBot="1" x14ac:dyDescent="0.25">
      <c r="B63" s="45">
        <v>5</v>
      </c>
      <c r="C63" s="70"/>
      <c r="D63" s="46"/>
      <c r="E63" s="71"/>
      <c r="F63" s="72"/>
      <c r="G63" s="72"/>
      <c r="H63" s="72"/>
      <c r="I63" s="73"/>
      <c r="J63" s="72"/>
      <c r="K63" s="72"/>
      <c r="L63" s="74"/>
    </row>
    <row r="64" spans="2:13" x14ac:dyDescent="0.2">
      <c r="B64" s="8"/>
      <c r="C64" s="8"/>
      <c r="D64" s="8"/>
      <c r="E64" s="8"/>
      <c r="F64" s="8"/>
      <c r="G64" s="8"/>
      <c r="H64" s="8"/>
      <c r="I64" s="8"/>
      <c r="J64" s="8"/>
      <c r="K64" s="8"/>
    </row>
    <row r="65" spans="2:11" ht="18.75" thickBot="1" x14ac:dyDescent="0.25">
      <c r="B65" s="52" t="s">
        <v>23</v>
      </c>
      <c r="C65" s="8"/>
      <c r="D65" s="8"/>
      <c r="E65" s="8"/>
      <c r="F65" s="8"/>
      <c r="G65" s="8"/>
      <c r="H65" s="8"/>
      <c r="I65" s="8"/>
      <c r="J65" s="8"/>
      <c r="K65" s="8"/>
    </row>
    <row r="66" spans="2:11" ht="23.25" x14ac:dyDescent="0.2">
      <c r="B66" s="8"/>
      <c r="C66" s="75" t="s">
        <v>24</v>
      </c>
      <c r="D66" s="312">
        <f>M35</f>
        <v>0</v>
      </c>
      <c r="E66" s="8"/>
      <c r="F66" s="8"/>
      <c r="G66" s="8"/>
      <c r="H66" s="8"/>
      <c r="I66" s="8"/>
      <c r="J66" s="8"/>
      <c r="K66" s="8"/>
    </row>
    <row r="67" spans="2:11" ht="23.25" x14ac:dyDescent="0.2">
      <c r="B67" s="8"/>
      <c r="C67" s="76" t="s">
        <v>25</v>
      </c>
      <c r="D67" s="313">
        <f>M45</f>
        <v>0</v>
      </c>
      <c r="E67" s="8"/>
      <c r="F67" s="8"/>
      <c r="G67" s="8"/>
      <c r="H67" s="8"/>
      <c r="I67" s="8"/>
      <c r="J67" s="8"/>
      <c r="K67" s="8"/>
    </row>
    <row r="68" spans="2:11" ht="24" thickBot="1" x14ac:dyDescent="0.25">
      <c r="B68" s="8"/>
      <c r="C68" s="76" t="s">
        <v>26</v>
      </c>
      <c r="D68" s="313">
        <f>M54</f>
        <v>0</v>
      </c>
      <c r="E68" s="8"/>
      <c r="F68" s="8"/>
      <c r="G68" s="8"/>
      <c r="H68" s="8"/>
      <c r="I68" s="8"/>
      <c r="J68" s="8"/>
      <c r="K68" s="8"/>
    </row>
    <row r="69" spans="2:11" ht="24" thickBot="1" x14ac:dyDescent="0.25">
      <c r="B69" s="8"/>
      <c r="C69" s="77" t="s">
        <v>27</v>
      </c>
      <c r="D69" s="314">
        <f>SUM(D66:D68)</f>
        <v>0</v>
      </c>
      <c r="E69" s="78"/>
      <c r="F69" s="8"/>
      <c r="G69" s="8"/>
      <c r="H69" s="8"/>
      <c r="I69" s="8"/>
      <c r="J69" s="8"/>
      <c r="K69" s="8"/>
    </row>
    <row r="70" spans="2:11" x14ac:dyDescent="0.2">
      <c r="B70" s="8"/>
      <c r="C70" s="8"/>
      <c r="D70" s="8"/>
      <c r="E70" s="8"/>
      <c r="F70" s="8"/>
      <c r="G70" s="8"/>
      <c r="H70" s="8"/>
      <c r="I70" s="8"/>
      <c r="J70" s="8"/>
      <c r="K70" s="8"/>
    </row>
    <row r="71" spans="2:11" ht="18" x14ac:dyDescent="0.2">
      <c r="B71" s="52" t="s">
        <v>28</v>
      </c>
      <c r="C71" s="8"/>
      <c r="D71" s="8"/>
      <c r="E71" s="8"/>
      <c r="F71" s="8"/>
      <c r="G71" s="8"/>
      <c r="H71" s="8"/>
      <c r="I71" s="8"/>
      <c r="J71" s="8"/>
      <c r="K71" s="8"/>
    </row>
    <row r="72" spans="2:11" x14ac:dyDescent="0.2">
      <c r="C72" s="8"/>
      <c r="D72" s="8"/>
      <c r="E72" s="8"/>
      <c r="F72" s="8"/>
      <c r="G72" s="8"/>
      <c r="H72" s="8"/>
      <c r="I72" s="8"/>
      <c r="J72" s="8"/>
      <c r="K72" s="8"/>
    </row>
    <row r="73" spans="2:11" x14ac:dyDescent="0.2">
      <c r="B73" s="79"/>
      <c r="C73" s="80"/>
      <c r="D73" s="81"/>
      <c r="E73" s="81"/>
      <c r="F73" s="81"/>
      <c r="G73" s="82"/>
      <c r="H73" s="8"/>
      <c r="I73" s="8"/>
      <c r="J73" s="8"/>
      <c r="K73" s="8"/>
    </row>
    <row r="74" spans="2:11" x14ac:dyDescent="0.2">
      <c r="B74" s="8"/>
      <c r="C74" s="83" t="s">
        <v>29</v>
      </c>
      <c r="D74" s="8"/>
      <c r="E74" s="8"/>
      <c r="F74" s="8"/>
      <c r="G74" s="84"/>
      <c r="H74" s="8"/>
      <c r="I74" s="8"/>
      <c r="J74" s="8"/>
      <c r="K74" s="8"/>
    </row>
    <row r="75" spans="2:11" x14ac:dyDescent="0.2">
      <c r="B75" s="8"/>
      <c r="C75" s="67"/>
      <c r="D75" s="8"/>
      <c r="E75" s="8"/>
      <c r="F75" s="8"/>
      <c r="G75" s="84"/>
      <c r="H75" s="8"/>
      <c r="I75" s="85"/>
      <c r="J75" s="8"/>
      <c r="K75" s="8"/>
    </row>
    <row r="76" spans="2:11" x14ac:dyDescent="0.2">
      <c r="B76" s="8"/>
      <c r="C76" s="67"/>
      <c r="D76" s="8"/>
      <c r="E76" s="8"/>
      <c r="F76" s="8"/>
      <c r="G76" s="84"/>
      <c r="H76" s="8"/>
      <c r="I76" s="86"/>
      <c r="J76" s="86"/>
      <c r="K76" s="8"/>
    </row>
    <row r="77" spans="2:11" x14ac:dyDescent="0.2">
      <c r="C77" s="87"/>
      <c r="D77" s="86"/>
      <c r="E77" s="86"/>
      <c r="F77" s="86"/>
      <c r="G77" s="88"/>
      <c r="I77" s="89" t="s">
        <v>30</v>
      </c>
    </row>
    <row r="79" spans="2:11" x14ac:dyDescent="0.2">
      <c r="B79" s="90"/>
      <c r="C79" s="80"/>
      <c r="D79" s="81"/>
      <c r="E79" s="81"/>
      <c r="F79" s="81"/>
      <c r="G79" s="82"/>
    </row>
    <row r="80" spans="2:11" x14ac:dyDescent="0.2">
      <c r="C80" s="83" t="s">
        <v>31</v>
      </c>
      <c r="D80" s="8"/>
      <c r="E80" s="8"/>
      <c r="F80" s="8"/>
      <c r="G80" s="84"/>
    </row>
    <row r="81" spans="2:10" x14ac:dyDescent="0.2">
      <c r="C81" s="67"/>
      <c r="D81" s="8"/>
      <c r="E81" s="8"/>
      <c r="F81" s="8"/>
      <c r="G81" s="84"/>
    </row>
    <row r="82" spans="2:10" x14ac:dyDescent="0.2">
      <c r="C82" s="67"/>
      <c r="D82" s="8"/>
      <c r="E82" s="8"/>
      <c r="F82" s="8"/>
      <c r="G82" s="84"/>
      <c r="I82" s="86"/>
      <c r="J82" s="86"/>
    </row>
    <row r="83" spans="2:10" x14ac:dyDescent="0.2">
      <c r="C83" s="87"/>
      <c r="D83" s="86"/>
      <c r="E83" s="86"/>
      <c r="F83" s="86"/>
      <c r="G83" s="88"/>
      <c r="I83" s="89" t="s">
        <v>33</v>
      </c>
    </row>
    <row r="85" spans="2:10" x14ac:dyDescent="0.2">
      <c r="B85" s="90"/>
      <c r="C85" s="80"/>
      <c r="D85" s="81"/>
      <c r="E85" s="81"/>
      <c r="F85" s="81"/>
      <c r="G85" s="82"/>
    </row>
    <row r="86" spans="2:10" x14ac:dyDescent="0.2">
      <c r="C86" s="83" t="s">
        <v>32</v>
      </c>
      <c r="D86" s="8"/>
      <c r="E86" s="8"/>
      <c r="F86" s="8"/>
      <c r="G86" s="84"/>
    </row>
    <row r="87" spans="2:10" x14ac:dyDescent="0.2">
      <c r="C87" s="67"/>
      <c r="D87" s="8"/>
      <c r="E87" s="8"/>
      <c r="F87" s="8"/>
      <c r="G87" s="84"/>
    </row>
    <row r="88" spans="2:10" x14ac:dyDescent="0.2">
      <c r="C88" s="67"/>
      <c r="D88" s="8"/>
      <c r="E88" s="8"/>
      <c r="F88" s="8"/>
      <c r="G88" s="84"/>
      <c r="I88" s="86"/>
      <c r="J88" s="86"/>
    </row>
    <row r="89" spans="2:10" x14ac:dyDescent="0.2">
      <c r="C89" s="87"/>
      <c r="D89" s="86"/>
      <c r="E89" s="86"/>
      <c r="F89" s="86"/>
      <c r="G89" s="88"/>
      <c r="I89" s="89" t="s">
        <v>34</v>
      </c>
    </row>
  </sheetData>
  <mergeCells count="28">
    <mergeCell ref="C54:D54"/>
    <mergeCell ref="I54:K54"/>
    <mergeCell ref="E43:G43"/>
    <mergeCell ref="I43:K43"/>
    <mergeCell ref="E44:G44"/>
    <mergeCell ref="I44:K44"/>
    <mergeCell ref="C50:D50"/>
    <mergeCell ref="E50:H53"/>
    <mergeCell ref="I50:K50"/>
    <mergeCell ref="C51:D51"/>
    <mergeCell ref="I51:K51"/>
    <mergeCell ref="C52:D52"/>
    <mergeCell ref="I52:K52"/>
    <mergeCell ref="C53:D53"/>
    <mergeCell ref="I53:K53"/>
    <mergeCell ref="E40:G40"/>
    <mergeCell ref="I40:K40"/>
    <mergeCell ref="E41:G41"/>
    <mergeCell ref="I41:K41"/>
    <mergeCell ref="E42:G42"/>
    <mergeCell ref="I42:K42"/>
    <mergeCell ref="E39:G39"/>
    <mergeCell ref="I39:K39"/>
    <mergeCell ref="C12:M12"/>
    <mergeCell ref="C13:M13"/>
    <mergeCell ref="C14:M14"/>
    <mergeCell ref="C19:C20"/>
    <mergeCell ref="C21:C22"/>
  </mergeCells>
  <conditionalFormatting sqref="D35">
    <cfRule type="cellIs" dxfId="0" priority="1" operator="notEqual">
      <formula>1</formula>
    </cfRule>
  </conditionalFormatting>
  <dataValidations count="1">
    <dataValidation type="list" allowBlank="1" showInputMessage="1" showErrorMessage="1" prompt="Please refer sheet Reference  to know the meaning of each score." sqref="H40:H44 L40:M44">
      <formula1>"1,2,3,4,5"</formula1>
    </dataValidation>
  </dataValidations>
  <pageMargins left="0.35416666666666669" right="0.35416666666666669" top="0.39374999999999999" bottom="0.39374999999999999" header="0.51180555555555551" footer="0.31527777777777777"/>
  <pageSetup paperSize="9" scale="64" firstPageNumber="0" fitToHeight="0" orientation="landscape" horizontalDpi="300" verticalDpi="300" r:id="rId1"/>
  <headerFooter alignWithMargins="0">
    <oddFooter>&amp;Cpage &amp;P / &amp;N</oddFooter>
  </headerFooter>
  <rowBreaks count="1" manualBreakCount="1">
    <brk id="35" min="1" max="1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pageSetUpPr fitToPage="1"/>
  </sheetPr>
  <dimension ref="B1:N89"/>
  <sheetViews>
    <sheetView topLeftCell="A50" zoomScale="55" zoomScaleNormal="55" zoomScaleSheetLayoutView="70" workbookViewId="0">
      <selection activeCell="E19" sqref="E19"/>
    </sheetView>
  </sheetViews>
  <sheetFormatPr defaultRowHeight="14.25" x14ac:dyDescent="0.2"/>
  <cols>
    <col min="1" max="1" width="1" customWidth="1"/>
    <col min="2" max="2" width="5.5" customWidth="1"/>
    <col min="3" max="3" width="45" customWidth="1"/>
    <col min="4" max="4" width="11" customWidth="1"/>
    <col min="5" max="5" width="45" customWidth="1"/>
    <col min="6" max="6" width="6.5" customWidth="1"/>
    <col min="7" max="7" width="6.375" customWidth="1"/>
    <col min="8" max="8" width="8.375" customWidth="1"/>
    <col min="9" max="9" width="45" customWidth="1"/>
    <col min="10" max="11" width="6.5" customWidth="1"/>
    <col min="12" max="12" width="7.75" customWidth="1"/>
    <col min="13" max="13" width="8" customWidth="1"/>
    <col min="14" max="14" width="11.375" customWidth="1"/>
  </cols>
  <sheetData>
    <row r="1" spans="2:13" ht="30" x14ac:dyDescent="0.2">
      <c r="B1" s="1"/>
      <c r="C1" s="2" t="s">
        <v>272</v>
      </c>
      <c r="D1" s="3"/>
      <c r="E1" s="3"/>
      <c r="F1" s="3"/>
      <c r="G1" s="3"/>
      <c r="H1" s="3"/>
      <c r="I1" s="3"/>
      <c r="J1" s="3"/>
      <c r="K1" s="3"/>
      <c r="L1" s="3"/>
      <c r="M1" s="4"/>
    </row>
    <row r="3" spans="2:13" x14ac:dyDescent="0.2">
      <c r="C3" s="5" t="s">
        <v>0</v>
      </c>
      <c r="E3" s="5" t="s">
        <v>1</v>
      </c>
      <c r="F3" s="6"/>
      <c r="G3" s="6"/>
      <c r="I3" s="5" t="s">
        <v>2</v>
      </c>
      <c r="J3" s="6"/>
      <c r="K3" s="6"/>
    </row>
    <row r="4" spans="2:13" x14ac:dyDescent="0.2">
      <c r="C4" s="7" t="s">
        <v>3</v>
      </c>
      <c r="E4" s="7" t="s">
        <v>3</v>
      </c>
      <c r="F4" s="8"/>
      <c r="G4" s="8"/>
      <c r="I4" s="7" t="s">
        <v>3</v>
      </c>
      <c r="J4" s="8"/>
      <c r="K4" s="8"/>
    </row>
    <row r="5" spans="2:13" x14ac:dyDescent="0.2">
      <c r="C5" s="7" t="s">
        <v>211</v>
      </c>
      <c r="E5" s="7" t="s">
        <v>211</v>
      </c>
      <c r="F5" s="8"/>
      <c r="G5" s="8"/>
      <c r="I5" s="7" t="s">
        <v>211</v>
      </c>
      <c r="J5" s="8"/>
      <c r="K5" s="8"/>
    </row>
    <row r="6" spans="2:13" x14ac:dyDescent="0.2">
      <c r="C6" s="224" t="s">
        <v>209</v>
      </c>
      <c r="E6" s="7" t="s">
        <v>4</v>
      </c>
      <c r="F6" s="8"/>
      <c r="G6" s="8"/>
      <c r="I6" s="7" t="s">
        <v>4</v>
      </c>
      <c r="J6" s="8"/>
      <c r="K6" s="8"/>
    </row>
    <row r="7" spans="2:13" x14ac:dyDescent="0.2">
      <c r="C7" s="7" t="s">
        <v>4</v>
      </c>
      <c r="E7" s="7" t="s">
        <v>5</v>
      </c>
      <c r="F7" s="8"/>
      <c r="G7" s="8"/>
      <c r="I7" s="7" t="s">
        <v>5</v>
      </c>
      <c r="J7" s="8"/>
      <c r="K7" s="8"/>
    </row>
    <row r="8" spans="2:13" ht="15" thickBot="1" x14ac:dyDescent="0.25">
      <c r="C8" s="7" t="s">
        <v>5</v>
      </c>
      <c r="E8" s="9" t="s">
        <v>6</v>
      </c>
      <c r="F8" s="8"/>
      <c r="G8" s="8"/>
      <c r="I8" s="9" t="s">
        <v>6</v>
      </c>
      <c r="J8" s="8"/>
      <c r="K8" s="8"/>
    </row>
    <row r="9" spans="2:13" ht="15" thickBot="1" x14ac:dyDescent="0.25">
      <c r="C9" s="9" t="s">
        <v>6</v>
      </c>
      <c r="F9" s="8"/>
      <c r="G9" s="8"/>
      <c r="J9" s="8"/>
      <c r="K9" s="8"/>
    </row>
    <row r="10" spans="2:13" x14ac:dyDescent="0.2">
      <c r="C10" s="8"/>
      <c r="E10" s="8"/>
      <c r="F10" s="8"/>
      <c r="G10" s="8"/>
      <c r="I10" s="8"/>
      <c r="J10" s="8"/>
      <c r="K10" s="8"/>
    </row>
    <row r="11" spans="2:13" ht="18.75" thickBot="1" x14ac:dyDescent="0.25">
      <c r="B11" s="10" t="s">
        <v>7</v>
      </c>
      <c r="C11" s="8"/>
      <c r="E11" s="8"/>
      <c r="F11" s="8"/>
      <c r="G11" s="8"/>
      <c r="I11" s="8"/>
      <c r="J11" s="8"/>
      <c r="K11" s="8"/>
    </row>
    <row r="12" spans="2:13" ht="24" customHeight="1" x14ac:dyDescent="0.2">
      <c r="B12" s="11"/>
      <c r="C12" s="346" t="s">
        <v>213</v>
      </c>
      <c r="D12" s="347"/>
      <c r="E12" s="347"/>
      <c r="F12" s="347"/>
      <c r="G12" s="347"/>
      <c r="H12" s="347"/>
      <c r="I12" s="347"/>
      <c r="J12" s="347"/>
      <c r="K12" s="347"/>
      <c r="L12" s="347"/>
      <c r="M12" s="348"/>
    </row>
    <row r="13" spans="2:13" ht="26.25" customHeight="1" x14ac:dyDescent="0.2">
      <c r="B13" s="12"/>
      <c r="C13" s="349" t="s">
        <v>212</v>
      </c>
      <c r="D13" s="350"/>
      <c r="E13" s="350"/>
      <c r="F13" s="350"/>
      <c r="G13" s="350"/>
      <c r="H13" s="350"/>
      <c r="I13" s="350"/>
      <c r="J13" s="350"/>
      <c r="K13" s="350"/>
      <c r="L13" s="350"/>
      <c r="M13" s="351"/>
    </row>
    <row r="14" spans="2:13" ht="29.25" customHeight="1" thickBot="1" x14ac:dyDescent="0.25">
      <c r="B14" s="13"/>
      <c r="C14" s="352" t="s">
        <v>214</v>
      </c>
      <c r="D14" s="353"/>
      <c r="E14" s="353"/>
      <c r="F14" s="353"/>
      <c r="G14" s="353"/>
      <c r="H14" s="353"/>
      <c r="I14" s="353"/>
      <c r="J14" s="353"/>
      <c r="K14" s="353"/>
      <c r="L14" s="353"/>
      <c r="M14" s="354"/>
    </row>
    <row r="15" spans="2:13" x14ac:dyDescent="0.2">
      <c r="B15" s="8"/>
      <c r="C15" s="14"/>
      <c r="D15" s="14"/>
      <c r="E15" s="14"/>
      <c r="F15" s="14"/>
      <c r="G15" s="14"/>
      <c r="H15" s="14"/>
      <c r="I15" s="14"/>
      <c r="J15" s="14"/>
      <c r="K15" s="14"/>
      <c r="L15" s="14"/>
      <c r="M15" s="14"/>
    </row>
    <row r="16" spans="2:13" ht="18.75" thickBot="1" x14ac:dyDescent="0.25">
      <c r="B16" s="10" t="s">
        <v>8</v>
      </c>
    </row>
    <row r="17" spans="2:14" x14ac:dyDescent="0.2">
      <c r="B17" s="15"/>
      <c r="C17" s="16"/>
      <c r="D17" s="16"/>
      <c r="E17" s="17" t="s">
        <v>0</v>
      </c>
      <c r="F17" s="16"/>
      <c r="G17" s="16"/>
      <c r="H17" s="18"/>
      <c r="I17" s="17" t="s">
        <v>1</v>
      </c>
      <c r="J17" s="16"/>
      <c r="K17" s="16"/>
      <c r="L17" s="16"/>
      <c r="M17" s="19" t="s">
        <v>9</v>
      </c>
    </row>
    <row r="18" spans="2:14" ht="29.25" thickBot="1" x14ac:dyDescent="0.25">
      <c r="B18" s="20" t="s">
        <v>10</v>
      </c>
      <c r="C18" s="21" t="s">
        <v>11</v>
      </c>
      <c r="D18" s="22" t="s">
        <v>12</v>
      </c>
      <c r="E18" s="23" t="s">
        <v>13</v>
      </c>
      <c r="F18" s="24" t="s">
        <v>14</v>
      </c>
      <c r="G18" s="24" t="s">
        <v>15</v>
      </c>
      <c r="H18" s="22" t="s">
        <v>16</v>
      </c>
      <c r="I18" s="23" t="s">
        <v>13</v>
      </c>
      <c r="J18" s="24" t="s">
        <v>14</v>
      </c>
      <c r="K18" s="24" t="s">
        <v>15</v>
      </c>
      <c r="L18" s="24" t="s">
        <v>16</v>
      </c>
      <c r="M18" s="25" t="s">
        <v>16</v>
      </c>
    </row>
    <row r="19" spans="2:14" ht="61.5" customHeight="1" x14ac:dyDescent="0.2">
      <c r="B19" s="33">
        <v>1</v>
      </c>
      <c r="C19" s="355" t="s">
        <v>210</v>
      </c>
      <c r="D19" s="311">
        <v>0.1</v>
      </c>
      <c r="E19" s="35"/>
      <c r="F19" s="36"/>
      <c r="G19" s="36"/>
      <c r="H19" s="37"/>
      <c r="I19" s="35"/>
      <c r="J19" s="36"/>
      <c r="K19" s="36"/>
      <c r="L19" s="38"/>
      <c r="M19" s="39"/>
      <c r="N19" s="27"/>
    </row>
    <row r="20" spans="2:14" ht="88.5" customHeight="1" x14ac:dyDescent="0.2">
      <c r="B20" s="28"/>
      <c r="C20" s="356"/>
      <c r="D20" s="30"/>
      <c r="E20" s="31"/>
      <c r="F20" s="41">
        <v>3</v>
      </c>
      <c r="G20" s="300"/>
      <c r="H20" s="304">
        <f>$D19*F20*G20</f>
        <v>0</v>
      </c>
      <c r="I20" s="31"/>
      <c r="J20" s="32">
        <v>3</v>
      </c>
      <c r="K20" s="303"/>
      <c r="L20" s="304">
        <f>$D19*J20*K20</f>
        <v>0</v>
      </c>
      <c r="M20" s="308"/>
      <c r="N20" s="27"/>
    </row>
    <row r="21" spans="2:14" ht="57" hidden="1" customHeight="1" x14ac:dyDescent="0.2">
      <c r="B21" s="33">
        <v>2</v>
      </c>
      <c r="C21" s="357" t="s">
        <v>134</v>
      </c>
      <c r="D21" s="202">
        <v>0.1</v>
      </c>
      <c r="E21" s="35"/>
      <c r="F21" s="36"/>
      <c r="G21" s="301"/>
      <c r="H21" s="305"/>
      <c r="I21" s="35"/>
      <c r="J21" s="36"/>
      <c r="K21" s="301"/>
      <c r="L21" s="307"/>
      <c r="M21" s="309"/>
      <c r="N21" s="27"/>
    </row>
    <row r="22" spans="2:14" ht="57.75" hidden="1" customHeight="1" x14ac:dyDescent="0.2">
      <c r="B22" s="28"/>
      <c r="C22" s="356"/>
      <c r="D22" s="30"/>
      <c r="E22" s="31"/>
      <c r="F22" s="41"/>
      <c r="G22" s="300"/>
      <c r="H22" s="304">
        <f>$D21*F22*G22</f>
        <v>0</v>
      </c>
      <c r="I22" s="31"/>
      <c r="J22" s="32"/>
      <c r="K22" s="303"/>
      <c r="L22" s="304">
        <f>$D21*J22*K22</f>
        <v>0</v>
      </c>
      <c r="M22" s="308"/>
      <c r="N22" s="27"/>
    </row>
    <row r="23" spans="2:14" ht="42.75" customHeight="1" x14ac:dyDescent="0.2">
      <c r="B23" s="33">
        <v>2</v>
      </c>
      <c r="C23" s="201" t="str">
        <f>'Task #A1'!B$5</f>
        <v>&lt;Task #A1: Please describe in specific about the work task with overall targets: (1) What the task is about? (2) What are your overall targets?&gt;</v>
      </c>
      <c r="D23" s="34">
        <v>0.1</v>
      </c>
      <c r="E23" s="35"/>
      <c r="F23" s="36"/>
      <c r="G23" s="301"/>
      <c r="H23" s="305"/>
      <c r="I23" s="35"/>
      <c r="J23" s="36"/>
      <c r="K23" s="301"/>
      <c r="L23" s="307"/>
      <c r="M23" s="309"/>
      <c r="N23" s="27"/>
    </row>
    <row r="24" spans="2:14" ht="43.5" customHeight="1" x14ac:dyDescent="0.2">
      <c r="B24" s="28"/>
      <c r="C24" s="29"/>
      <c r="D24" s="30"/>
      <c r="E24" s="31"/>
      <c r="F24" s="41"/>
      <c r="G24" s="300">
        <f>'Task #A1'!F$35</f>
        <v>3.1799999999999997</v>
      </c>
      <c r="H24" s="304">
        <f>$D23*F24*G24</f>
        <v>0</v>
      </c>
      <c r="I24" s="31"/>
      <c r="J24" s="32"/>
      <c r="K24" s="303">
        <f>'Task #A1'!H$35</f>
        <v>3.1799999999999997</v>
      </c>
      <c r="L24" s="304">
        <f>$D23*J24*K24</f>
        <v>0</v>
      </c>
      <c r="M24" s="308"/>
      <c r="N24" s="27"/>
    </row>
    <row r="25" spans="2:14" ht="45" customHeight="1" x14ac:dyDescent="0.2">
      <c r="B25" s="33">
        <v>3</v>
      </c>
      <c r="C25" s="201" t="str">
        <f>'Task #A2'!B$5</f>
        <v>&lt;Task #A2: Please describe in specific about the work task with overall targets: (1) What the task is about? (2) What are your overall targets?&gt;</v>
      </c>
      <c r="D25" s="34">
        <v>0.2</v>
      </c>
      <c r="E25" s="35"/>
      <c r="F25" s="36"/>
      <c r="G25" s="301"/>
      <c r="H25" s="305"/>
      <c r="I25" s="35"/>
      <c r="J25" s="36"/>
      <c r="K25" s="301"/>
      <c r="L25" s="307"/>
      <c r="M25" s="309"/>
      <c r="N25" s="40"/>
    </row>
    <row r="26" spans="2:14" ht="42.75" customHeight="1" x14ac:dyDescent="0.2">
      <c r="B26" s="28"/>
      <c r="C26" s="29"/>
      <c r="D26" s="30"/>
      <c r="E26" s="31"/>
      <c r="F26" s="41"/>
      <c r="G26" s="300">
        <f>'Task #A2'!F$35</f>
        <v>2.8999999999999995</v>
      </c>
      <c r="H26" s="304">
        <f>$D25*F26*G26</f>
        <v>0</v>
      </c>
      <c r="I26" s="31"/>
      <c r="J26" s="32"/>
      <c r="K26" s="303">
        <f>'Task #A2'!H$35</f>
        <v>3.3</v>
      </c>
      <c r="L26" s="304">
        <f>$D25*J26*K26</f>
        <v>0</v>
      </c>
      <c r="M26" s="308"/>
      <c r="N26" s="27"/>
    </row>
    <row r="27" spans="2:14" ht="42.75" customHeight="1" x14ac:dyDescent="0.2">
      <c r="B27" s="26">
        <v>4</v>
      </c>
      <c r="C27" s="201" t="str">
        <f>'Task #A3'!B$5</f>
        <v>&lt;Task #A3: Please describe in specific about the work task with overall targets: (1) What the task is about? (2) What are your overall targets?&gt;</v>
      </c>
      <c r="D27" s="34">
        <v>0.2</v>
      </c>
      <c r="E27" s="35"/>
      <c r="F27" s="43"/>
      <c r="G27" s="302"/>
      <c r="H27" s="306"/>
      <c r="I27" s="35"/>
      <c r="J27" s="36"/>
      <c r="K27" s="301"/>
      <c r="L27" s="307"/>
      <c r="M27" s="309"/>
      <c r="N27" s="27"/>
    </row>
    <row r="28" spans="2:14" ht="42.75" customHeight="1" x14ac:dyDescent="0.2">
      <c r="B28" s="26"/>
      <c r="C28" s="29"/>
      <c r="D28" s="68"/>
      <c r="E28" s="80"/>
      <c r="F28" s="207"/>
      <c r="G28" s="300">
        <f>'Task #A3'!F$35</f>
        <v>3.08</v>
      </c>
      <c r="H28" s="304">
        <f>$D27*F28*G28</f>
        <v>0</v>
      </c>
      <c r="I28" s="31"/>
      <c r="J28" s="32"/>
      <c r="K28" s="303">
        <f>'Task #A3'!H$35</f>
        <v>3.28</v>
      </c>
      <c r="L28" s="304">
        <f>$D27*J28*K28</f>
        <v>0</v>
      </c>
      <c r="M28" s="308"/>
      <c r="N28" s="27"/>
    </row>
    <row r="29" spans="2:14" ht="42.75" customHeight="1" x14ac:dyDescent="0.2">
      <c r="B29" s="33">
        <v>5</v>
      </c>
      <c r="C29" s="201" t="str">
        <f>'Task #A4'!B$5</f>
        <v>&lt;Task #A4: Please describe in specific about the work task with overall targets: (1) What the task is about? (2) What are your overall targets?&gt;</v>
      </c>
      <c r="D29" s="34">
        <v>0.1</v>
      </c>
      <c r="E29" s="35"/>
      <c r="F29" s="43"/>
      <c r="G29" s="302"/>
      <c r="H29" s="306"/>
      <c r="I29" s="35"/>
      <c r="J29" s="36"/>
      <c r="K29" s="301"/>
      <c r="L29" s="307"/>
      <c r="M29" s="309"/>
      <c r="N29" s="27"/>
    </row>
    <row r="30" spans="2:14" ht="42.75" customHeight="1" x14ac:dyDescent="0.2">
      <c r="B30" s="26"/>
      <c r="C30" s="203"/>
      <c r="D30" s="68"/>
      <c r="E30" s="80"/>
      <c r="F30" s="207"/>
      <c r="G30" s="300">
        <f>'Task #A4'!F$35</f>
        <v>3.3600000000000003</v>
      </c>
      <c r="H30" s="304">
        <f>$D29*F30*G30</f>
        <v>0</v>
      </c>
      <c r="I30" s="31"/>
      <c r="J30" s="32"/>
      <c r="K30" s="303">
        <f>'Task #A4'!H$35</f>
        <v>3.3600000000000003</v>
      </c>
      <c r="L30" s="304">
        <f>$D29*J30*K30</f>
        <v>0</v>
      </c>
      <c r="M30" s="308"/>
      <c r="N30" s="27"/>
    </row>
    <row r="31" spans="2:14" ht="42.75" customHeight="1" x14ac:dyDescent="0.2">
      <c r="B31" s="33">
        <v>6</v>
      </c>
      <c r="C31" s="201" t="str">
        <f>'Task #A5'!B$5</f>
        <v>&lt;Task #A5: Please describe in specific about the work task with overall targets: (1) What the task is about? (2) What are your overall targets?&gt;</v>
      </c>
      <c r="D31" s="34">
        <v>0.2</v>
      </c>
      <c r="E31" s="35"/>
      <c r="F31" s="43"/>
      <c r="G31" s="302"/>
      <c r="H31" s="306"/>
      <c r="I31" s="35"/>
      <c r="J31" s="36"/>
      <c r="K31" s="301"/>
      <c r="L31" s="307"/>
      <c r="M31" s="309"/>
      <c r="N31" s="27"/>
    </row>
    <row r="32" spans="2:14" ht="42.75" customHeight="1" thickBot="1" x14ac:dyDescent="0.25">
      <c r="B32" s="28"/>
      <c r="C32" s="29"/>
      <c r="D32" s="30"/>
      <c r="E32" s="31"/>
      <c r="F32" s="32"/>
      <c r="G32" s="300">
        <f>'Task #A5'!F$35</f>
        <v>2.8999999999999995</v>
      </c>
      <c r="H32" s="304">
        <f>$D31*F32*G32</f>
        <v>0</v>
      </c>
      <c r="I32" s="31"/>
      <c r="J32" s="32"/>
      <c r="K32" s="303">
        <f>'Task #A5'!H$35</f>
        <v>3.3</v>
      </c>
      <c r="L32" s="304">
        <f>$D31*J32*K32</f>
        <v>0</v>
      </c>
      <c r="M32" s="308"/>
      <c r="N32" s="27"/>
    </row>
    <row r="33" spans="2:14" ht="42.75" hidden="1" customHeight="1" x14ac:dyDescent="0.2">
      <c r="B33" s="33"/>
      <c r="C33" s="201"/>
      <c r="D33" s="34"/>
      <c r="E33" s="35"/>
      <c r="F33" s="43"/>
      <c r="G33" s="43"/>
      <c r="H33" s="44"/>
      <c r="I33" s="35"/>
      <c r="J33" s="36"/>
      <c r="K33" s="36"/>
      <c r="L33" s="38"/>
      <c r="M33" s="309"/>
      <c r="N33" s="27"/>
    </row>
    <row r="34" spans="2:14" ht="42.75" hidden="1" customHeight="1" thickBot="1" x14ac:dyDescent="0.25">
      <c r="B34" s="28"/>
      <c r="C34" s="29"/>
      <c r="D34" s="30"/>
      <c r="E34" s="31"/>
      <c r="F34" s="32"/>
      <c r="G34" s="41"/>
      <c r="H34" s="42"/>
      <c r="I34" s="31"/>
      <c r="J34" s="32"/>
      <c r="K34" s="32"/>
      <c r="L34" s="42"/>
      <c r="M34" s="308"/>
      <c r="N34" s="27"/>
    </row>
    <row r="35" spans="2:14" ht="22.5" customHeight="1" thickBot="1" x14ac:dyDescent="0.25">
      <c r="B35" s="194"/>
      <c r="C35" s="197"/>
      <c r="D35" s="198">
        <f>SUM(D19:D32)</f>
        <v>1</v>
      </c>
      <c r="E35" s="197"/>
      <c r="F35" s="197"/>
      <c r="G35" s="197"/>
      <c r="H35" s="310">
        <f>SUM(H20,H22,H24,H26,H28,H30,H32)</f>
        <v>0</v>
      </c>
      <c r="I35" s="197"/>
      <c r="J35" s="197"/>
      <c r="K35" s="197"/>
      <c r="L35" s="310">
        <f>SUM(L20,L22,L24,L26,L28,L30,L32)</f>
        <v>0</v>
      </c>
      <c r="M35" s="310">
        <f>SUM(M20,M22,M24,M26,M28,M30,M32)</f>
        <v>0</v>
      </c>
      <c r="N35" s="27"/>
    </row>
    <row r="37" spans="2:14" ht="18.75" thickBot="1" x14ac:dyDescent="0.25">
      <c r="B37" s="10" t="s">
        <v>17</v>
      </c>
    </row>
    <row r="38" spans="2:14" x14ac:dyDescent="0.2">
      <c r="B38" s="158"/>
      <c r="C38" s="159"/>
      <c r="D38" s="159"/>
      <c r="E38" s="160" t="s">
        <v>0</v>
      </c>
      <c r="F38" s="159"/>
      <c r="G38" s="159"/>
      <c r="H38" s="161"/>
      <c r="I38" s="160" t="s">
        <v>1</v>
      </c>
      <c r="J38" s="159"/>
      <c r="K38" s="159"/>
      <c r="L38" s="175"/>
      <c r="M38" s="169" t="s">
        <v>9</v>
      </c>
    </row>
    <row r="39" spans="2:14" ht="29.25" thickBot="1" x14ac:dyDescent="0.25">
      <c r="B39" s="176" t="s">
        <v>18</v>
      </c>
      <c r="C39" s="177" t="s">
        <v>19</v>
      </c>
      <c r="D39" s="178"/>
      <c r="E39" s="343" t="s">
        <v>13</v>
      </c>
      <c r="F39" s="344"/>
      <c r="G39" s="345"/>
      <c r="H39" s="179" t="s">
        <v>16</v>
      </c>
      <c r="I39" s="343" t="s">
        <v>13</v>
      </c>
      <c r="J39" s="343"/>
      <c r="K39" s="343"/>
      <c r="L39" s="180" t="s">
        <v>16</v>
      </c>
      <c r="M39" s="170" t="s">
        <v>16</v>
      </c>
    </row>
    <row r="40" spans="2:14" ht="69.75" customHeight="1" x14ac:dyDescent="0.2">
      <c r="B40" s="171">
        <v>1</v>
      </c>
      <c r="C40" s="172" t="s">
        <v>158</v>
      </c>
      <c r="D40" s="173"/>
      <c r="E40" s="358"/>
      <c r="F40" s="359"/>
      <c r="G40" s="360"/>
      <c r="H40" s="174"/>
      <c r="I40" s="361"/>
      <c r="J40" s="362"/>
      <c r="K40" s="362"/>
      <c r="L40" s="174"/>
      <c r="M40" s="162"/>
    </row>
    <row r="41" spans="2:14" ht="45" customHeight="1" x14ac:dyDescent="0.2">
      <c r="B41" s="163">
        <v>2</v>
      </c>
      <c r="C41" s="48" t="s">
        <v>156</v>
      </c>
      <c r="D41" s="49"/>
      <c r="E41" s="363"/>
      <c r="F41" s="364"/>
      <c r="G41" s="365"/>
      <c r="H41" s="157"/>
      <c r="I41" s="364"/>
      <c r="J41" s="363"/>
      <c r="K41" s="363"/>
      <c r="L41" s="157"/>
      <c r="M41" s="162"/>
    </row>
    <row r="42" spans="2:14" ht="108" customHeight="1" x14ac:dyDescent="0.2">
      <c r="B42" s="163">
        <v>3</v>
      </c>
      <c r="C42" s="48" t="s">
        <v>157</v>
      </c>
      <c r="D42" s="49"/>
      <c r="E42" s="363"/>
      <c r="F42" s="364"/>
      <c r="G42" s="365"/>
      <c r="H42" s="157"/>
      <c r="I42" s="364"/>
      <c r="J42" s="363"/>
      <c r="K42" s="363"/>
      <c r="L42" s="157"/>
      <c r="M42" s="162"/>
    </row>
    <row r="43" spans="2:14" ht="111" customHeight="1" x14ac:dyDescent="0.2">
      <c r="B43" s="163">
        <v>4</v>
      </c>
      <c r="C43" s="48" t="s">
        <v>159</v>
      </c>
      <c r="D43" s="49"/>
      <c r="E43" s="363"/>
      <c r="F43" s="364"/>
      <c r="G43" s="365"/>
      <c r="H43" s="157"/>
      <c r="I43" s="364"/>
      <c r="J43" s="363"/>
      <c r="K43" s="363"/>
      <c r="L43" s="157"/>
      <c r="M43" s="162"/>
    </row>
    <row r="44" spans="2:14" ht="78.75" customHeight="1" thickBot="1" x14ac:dyDescent="0.25">
      <c r="B44" s="164">
        <v>5</v>
      </c>
      <c r="C44" s="50" t="s">
        <v>160</v>
      </c>
      <c r="D44" s="51"/>
      <c r="E44" s="370"/>
      <c r="F44" s="371"/>
      <c r="G44" s="372"/>
      <c r="H44" s="157"/>
      <c r="I44" s="371"/>
      <c r="J44" s="370"/>
      <c r="K44" s="370"/>
      <c r="L44" s="157"/>
      <c r="M44" s="162"/>
    </row>
    <row r="45" spans="2:14" ht="18.75" thickBot="1" x14ac:dyDescent="0.25">
      <c r="B45" s="165"/>
      <c r="C45" s="199" t="s">
        <v>165</v>
      </c>
      <c r="D45" s="166"/>
      <c r="E45" s="167"/>
      <c r="F45" s="167"/>
      <c r="G45" s="168"/>
      <c r="H45" s="200">
        <f>IF(SUM(H40:H44)&gt;0, AVERAGEA(H40:H44), 0)</f>
        <v>0</v>
      </c>
      <c r="I45" s="167"/>
      <c r="J45" s="167"/>
      <c r="K45" s="167"/>
      <c r="L45" s="200">
        <f>IF(SUM(L40:L44)&gt;0, AVERAGEA(L40:L44), 0)</f>
        <v>0</v>
      </c>
      <c r="M45" s="200">
        <f>IF(SUM(M40:M44)&gt;0, AVERAGEA(M40:M44), 0)</f>
        <v>0</v>
      </c>
    </row>
    <row r="47" spans="2:14" ht="19.5" thickBot="1" x14ac:dyDescent="0.25">
      <c r="B47" s="10" t="s">
        <v>195</v>
      </c>
      <c r="E47" s="52"/>
      <c r="F47" s="8"/>
      <c r="G47" s="8"/>
      <c r="H47" s="8"/>
      <c r="I47" s="8"/>
      <c r="J47" s="8"/>
      <c r="K47" s="8"/>
    </row>
    <row r="48" spans="2:14" ht="15" x14ac:dyDescent="0.2">
      <c r="B48" s="181" t="s">
        <v>20</v>
      </c>
      <c r="C48" s="183" t="s">
        <v>19</v>
      </c>
      <c r="D48" s="184"/>
      <c r="E48" s="214"/>
      <c r="F48" s="215"/>
      <c r="G48" s="215"/>
      <c r="H48" s="216"/>
      <c r="I48" s="182" t="s">
        <v>1</v>
      </c>
      <c r="J48" s="182"/>
      <c r="K48" s="182"/>
      <c r="L48" s="185"/>
      <c r="M48" s="196" t="s">
        <v>9</v>
      </c>
    </row>
    <row r="49" spans="2:13" ht="15" thickBot="1" x14ac:dyDescent="0.25">
      <c r="B49" s="188"/>
      <c r="C49" s="189"/>
      <c r="D49" s="190"/>
      <c r="E49" s="217"/>
      <c r="F49" s="218"/>
      <c r="G49" s="218"/>
      <c r="H49" s="219"/>
      <c r="I49" s="192" t="s">
        <v>13</v>
      </c>
      <c r="J49" s="178"/>
      <c r="K49" s="178"/>
      <c r="L49" s="191"/>
      <c r="M49" s="191"/>
    </row>
    <row r="50" spans="2:13" ht="33.75" customHeight="1" x14ac:dyDescent="0.2">
      <c r="B50" s="186"/>
      <c r="C50" s="373" t="s">
        <v>163</v>
      </c>
      <c r="D50" s="374"/>
      <c r="E50" s="375" t="s">
        <v>196</v>
      </c>
      <c r="F50" s="376"/>
      <c r="G50" s="376"/>
      <c r="H50" s="377"/>
      <c r="I50" s="381"/>
      <c r="J50" s="382"/>
      <c r="K50" s="382"/>
      <c r="L50" s="187"/>
      <c r="M50" s="187"/>
    </row>
    <row r="51" spans="2:13" ht="19.5" customHeight="1" x14ac:dyDescent="0.2">
      <c r="B51" s="186"/>
      <c r="C51" s="373" t="s">
        <v>162</v>
      </c>
      <c r="D51" s="374"/>
      <c r="E51" s="378"/>
      <c r="F51" s="379"/>
      <c r="G51" s="379"/>
      <c r="H51" s="380"/>
      <c r="I51" s="383"/>
      <c r="J51" s="384"/>
      <c r="K51" s="384"/>
      <c r="L51" s="162"/>
      <c r="M51" s="162"/>
    </row>
    <row r="52" spans="2:13" ht="31.5" customHeight="1" x14ac:dyDescent="0.2">
      <c r="B52" s="186"/>
      <c r="C52" s="373" t="s">
        <v>161</v>
      </c>
      <c r="D52" s="374"/>
      <c r="E52" s="378"/>
      <c r="F52" s="379"/>
      <c r="G52" s="379"/>
      <c r="H52" s="380"/>
      <c r="I52" s="383"/>
      <c r="J52" s="384"/>
      <c r="K52" s="384"/>
      <c r="L52" s="162"/>
      <c r="M52" s="162"/>
    </row>
    <row r="53" spans="2:13" ht="15" thickBot="1" x14ac:dyDescent="0.25">
      <c r="B53" s="186"/>
      <c r="C53" s="385"/>
      <c r="D53" s="386"/>
      <c r="E53" s="378"/>
      <c r="F53" s="379"/>
      <c r="G53" s="379"/>
      <c r="H53" s="380"/>
      <c r="I53" s="387"/>
      <c r="J53" s="388"/>
      <c r="K53" s="388"/>
      <c r="L53" s="193"/>
      <c r="M53" s="193"/>
    </row>
    <row r="54" spans="2:13" ht="15.75" thickBot="1" x14ac:dyDescent="0.25">
      <c r="B54" s="194"/>
      <c r="C54" s="366" t="s">
        <v>164</v>
      </c>
      <c r="D54" s="367"/>
      <c r="E54" s="220"/>
      <c r="F54" s="221"/>
      <c r="G54" s="221"/>
      <c r="H54" s="222"/>
      <c r="I54" s="368"/>
      <c r="J54" s="369"/>
      <c r="K54" s="369"/>
      <c r="L54" s="195">
        <f>MIN(SUM(L50:L53),1.5)</f>
        <v>0</v>
      </c>
      <c r="M54" s="195">
        <f>MIN(SUM(M50:M53),1.5)</f>
        <v>0</v>
      </c>
    </row>
    <row r="56" spans="2:13" ht="18.75" thickBot="1" x14ac:dyDescent="0.25">
      <c r="B56" s="10" t="s">
        <v>21</v>
      </c>
      <c r="E56" s="52"/>
      <c r="F56" s="8"/>
      <c r="G56" s="8"/>
      <c r="H56" s="8"/>
      <c r="I56" s="8"/>
      <c r="J56" s="8"/>
      <c r="K56" s="8"/>
    </row>
    <row r="57" spans="2:13" x14ac:dyDescent="0.2">
      <c r="B57" s="53" t="s">
        <v>20</v>
      </c>
      <c r="C57" s="54" t="s">
        <v>19</v>
      </c>
      <c r="D57" s="61" t="s">
        <v>22</v>
      </c>
      <c r="E57" s="55" t="s">
        <v>0</v>
      </c>
      <c r="F57" s="55"/>
      <c r="G57" s="55"/>
      <c r="H57" s="55"/>
      <c r="I57" s="54" t="s">
        <v>1</v>
      </c>
      <c r="J57" s="55"/>
      <c r="K57" s="55"/>
      <c r="L57" s="56"/>
    </row>
    <row r="58" spans="2:13" ht="15" thickBot="1" x14ac:dyDescent="0.25">
      <c r="B58" s="57"/>
      <c r="C58" s="58"/>
      <c r="D58" s="62"/>
      <c r="E58" s="23" t="s">
        <v>13</v>
      </c>
      <c r="F58" s="47"/>
      <c r="G58" s="47"/>
      <c r="H58" s="47"/>
      <c r="I58" s="23" t="s">
        <v>13</v>
      </c>
      <c r="J58" s="47"/>
      <c r="K58" s="47"/>
      <c r="L58" s="59"/>
    </row>
    <row r="59" spans="2:13" x14ac:dyDescent="0.2">
      <c r="B59" s="60">
        <v>1</v>
      </c>
      <c r="C59" s="63"/>
      <c r="D59" s="64"/>
      <c r="E59" s="65"/>
      <c r="F59" s="65"/>
      <c r="G59" s="65"/>
      <c r="H59" s="65"/>
      <c r="I59" s="63"/>
      <c r="J59" s="65"/>
      <c r="K59" s="65"/>
      <c r="L59" s="66"/>
    </row>
    <row r="60" spans="2:13" x14ac:dyDescent="0.2">
      <c r="B60" s="26">
        <v>2</v>
      </c>
      <c r="C60" s="67"/>
      <c r="D60" s="68"/>
      <c r="E60" s="8"/>
      <c r="F60" s="8"/>
      <c r="G60" s="8"/>
      <c r="H60" s="8"/>
      <c r="I60" s="67"/>
      <c r="J60" s="8"/>
      <c r="K60" s="8"/>
      <c r="L60" s="69"/>
    </row>
    <row r="61" spans="2:13" x14ac:dyDescent="0.2">
      <c r="B61" s="26">
        <v>3</v>
      </c>
      <c r="C61" s="67"/>
      <c r="D61" s="68"/>
      <c r="E61" s="8"/>
      <c r="F61" s="8"/>
      <c r="G61" s="8"/>
      <c r="H61" s="8"/>
      <c r="I61" s="67"/>
      <c r="J61" s="8"/>
      <c r="K61" s="8"/>
      <c r="L61" s="69"/>
    </row>
    <row r="62" spans="2:13" x14ac:dyDescent="0.2">
      <c r="B62" s="26">
        <v>4</v>
      </c>
      <c r="C62" s="67"/>
      <c r="D62" s="68"/>
      <c r="E62" s="8"/>
      <c r="F62" s="8"/>
      <c r="G62" s="8"/>
      <c r="H62" s="8"/>
      <c r="I62" s="67"/>
      <c r="J62" s="8"/>
      <c r="K62" s="8"/>
      <c r="L62" s="69"/>
    </row>
    <row r="63" spans="2:13" ht="15" thickBot="1" x14ac:dyDescent="0.25">
      <c r="B63" s="45">
        <v>5</v>
      </c>
      <c r="C63" s="70"/>
      <c r="D63" s="46"/>
      <c r="E63" s="71"/>
      <c r="F63" s="72"/>
      <c r="G63" s="72"/>
      <c r="H63" s="72"/>
      <c r="I63" s="73"/>
      <c r="J63" s="72"/>
      <c r="K63" s="72"/>
      <c r="L63" s="74"/>
    </row>
    <row r="64" spans="2:13" x14ac:dyDescent="0.2">
      <c r="B64" s="8"/>
      <c r="C64" s="8"/>
      <c r="D64" s="8"/>
      <c r="E64" s="8"/>
      <c r="F64" s="8"/>
      <c r="G64" s="8"/>
      <c r="H64" s="8"/>
      <c r="I64" s="8"/>
      <c r="J64" s="8"/>
      <c r="K64" s="8"/>
    </row>
    <row r="65" spans="2:11" ht="18.75" thickBot="1" x14ac:dyDescent="0.25">
      <c r="B65" s="52" t="s">
        <v>23</v>
      </c>
      <c r="C65" s="8"/>
      <c r="D65" s="8"/>
      <c r="E65" s="8"/>
      <c r="F65" s="8"/>
      <c r="G65" s="8"/>
      <c r="H65" s="8"/>
      <c r="I65" s="8"/>
      <c r="J65" s="8"/>
      <c r="K65" s="8"/>
    </row>
    <row r="66" spans="2:11" ht="23.25" x14ac:dyDescent="0.2">
      <c r="B66" s="8"/>
      <c r="C66" s="75" t="s">
        <v>24</v>
      </c>
      <c r="D66" s="312">
        <f>M35</f>
        <v>0</v>
      </c>
      <c r="E66" s="8"/>
      <c r="F66" s="8"/>
      <c r="G66" s="8"/>
      <c r="H66" s="8"/>
      <c r="I66" s="8"/>
      <c r="J66" s="8"/>
      <c r="K66" s="8"/>
    </row>
    <row r="67" spans="2:11" ht="23.25" x14ac:dyDescent="0.2">
      <c r="B67" s="8"/>
      <c r="C67" s="76" t="s">
        <v>25</v>
      </c>
      <c r="D67" s="313">
        <f>M45</f>
        <v>0</v>
      </c>
      <c r="E67" s="8"/>
      <c r="F67" s="8"/>
      <c r="G67" s="8"/>
      <c r="H67" s="8"/>
      <c r="I67" s="8"/>
      <c r="J67" s="8"/>
      <c r="K67" s="8"/>
    </row>
    <row r="68" spans="2:11" ht="24" thickBot="1" x14ac:dyDescent="0.25">
      <c r="B68" s="8"/>
      <c r="C68" s="76" t="s">
        <v>26</v>
      </c>
      <c r="D68" s="313">
        <f>M54</f>
        <v>0</v>
      </c>
      <c r="E68" s="8"/>
      <c r="F68" s="8"/>
      <c r="G68" s="8"/>
      <c r="H68" s="8"/>
      <c r="I68" s="8"/>
      <c r="J68" s="8"/>
      <c r="K68" s="8"/>
    </row>
    <row r="69" spans="2:11" ht="24" thickBot="1" x14ac:dyDescent="0.25">
      <c r="B69" s="8"/>
      <c r="C69" s="77" t="s">
        <v>27</v>
      </c>
      <c r="D69" s="314">
        <f>SUM(D66:D68)</f>
        <v>0</v>
      </c>
      <c r="E69" s="78"/>
      <c r="F69" s="8"/>
      <c r="G69" s="8"/>
      <c r="H69" s="8"/>
      <c r="I69" s="8"/>
      <c r="J69" s="8"/>
      <c r="K69" s="8"/>
    </row>
    <row r="70" spans="2:11" x14ac:dyDescent="0.2">
      <c r="B70" s="8"/>
      <c r="C70" s="8"/>
      <c r="D70" s="8"/>
      <c r="E70" s="8"/>
      <c r="F70" s="8"/>
      <c r="G70" s="8"/>
      <c r="H70" s="8"/>
      <c r="I70" s="8"/>
      <c r="J70" s="8"/>
      <c r="K70" s="8"/>
    </row>
    <row r="71" spans="2:11" ht="18" x14ac:dyDescent="0.2">
      <c r="B71" s="52" t="s">
        <v>28</v>
      </c>
      <c r="C71" s="8"/>
      <c r="D71" s="8"/>
      <c r="E71" s="8"/>
      <c r="F71" s="8"/>
      <c r="G71" s="8"/>
      <c r="H71" s="8"/>
      <c r="I71" s="8"/>
      <c r="J71" s="8"/>
      <c r="K71" s="8"/>
    </row>
    <row r="72" spans="2:11" x14ac:dyDescent="0.2">
      <c r="C72" s="8"/>
      <c r="D72" s="8"/>
      <c r="E72" s="8"/>
      <c r="F72" s="8"/>
      <c r="G72" s="8"/>
      <c r="H72" s="8"/>
      <c r="I72" s="8"/>
      <c r="J72" s="8"/>
      <c r="K72" s="8"/>
    </row>
    <row r="73" spans="2:11" x14ac:dyDescent="0.2">
      <c r="B73" s="79"/>
      <c r="C73" s="80"/>
      <c r="D73" s="81"/>
      <c r="E73" s="81"/>
      <c r="F73" s="81"/>
      <c r="G73" s="82"/>
      <c r="H73" s="8"/>
      <c r="I73" s="8"/>
      <c r="J73" s="8"/>
      <c r="K73" s="8"/>
    </row>
    <row r="74" spans="2:11" x14ac:dyDescent="0.2">
      <c r="B74" s="8"/>
      <c r="C74" s="83" t="s">
        <v>29</v>
      </c>
      <c r="D74" s="8"/>
      <c r="E74" s="8"/>
      <c r="F74" s="8"/>
      <c r="G74" s="84"/>
      <c r="H74" s="8"/>
      <c r="I74" s="8"/>
      <c r="J74" s="8"/>
      <c r="K74" s="8"/>
    </row>
    <row r="75" spans="2:11" x14ac:dyDescent="0.2">
      <c r="B75" s="8"/>
      <c r="C75" s="67"/>
      <c r="D75" s="8"/>
      <c r="E75" s="8"/>
      <c r="F75" s="8"/>
      <c r="G75" s="84"/>
      <c r="H75" s="8"/>
      <c r="I75" s="85"/>
      <c r="J75" s="8"/>
      <c r="K75" s="8"/>
    </row>
    <row r="76" spans="2:11" x14ac:dyDescent="0.2">
      <c r="B76" s="8"/>
      <c r="C76" s="67"/>
      <c r="D76" s="8"/>
      <c r="E76" s="8"/>
      <c r="F76" s="8"/>
      <c r="G76" s="84"/>
      <c r="H76" s="8"/>
      <c r="I76" s="86"/>
      <c r="J76" s="86"/>
      <c r="K76" s="8"/>
    </row>
    <row r="77" spans="2:11" x14ac:dyDescent="0.2">
      <c r="C77" s="87"/>
      <c r="D77" s="86"/>
      <c r="E77" s="86"/>
      <c r="F77" s="86"/>
      <c r="G77" s="88"/>
      <c r="I77" s="89" t="s">
        <v>30</v>
      </c>
    </row>
    <row r="79" spans="2:11" x14ac:dyDescent="0.2">
      <c r="B79" s="90"/>
      <c r="C79" s="80"/>
      <c r="D79" s="81"/>
      <c r="E79" s="81"/>
      <c r="F79" s="81"/>
      <c r="G79" s="82"/>
    </row>
    <row r="80" spans="2:11" x14ac:dyDescent="0.2">
      <c r="C80" s="83" t="s">
        <v>31</v>
      </c>
      <c r="D80" s="8"/>
      <c r="E80" s="8"/>
      <c r="F80" s="8"/>
      <c r="G80" s="84"/>
    </row>
    <row r="81" spans="2:10" x14ac:dyDescent="0.2">
      <c r="C81" s="67"/>
      <c r="D81" s="8"/>
      <c r="E81" s="8"/>
      <c r="F81" s="8"/>
      <c r="G81" s="84"/>
    </row>
    <row r="82" spans="2:10" x14ac:dyDescent="0.2">
      <c r="C82" s="67"/>
      <c r="D82" s="8"/>
      <c r="E82" s="8"/>
      <c r="F82" s="8"/>
      <c r="G82" s="84"/>
      <c r="I82" s="86"/>
      <c r="J82" s="86"/>
    </row>
    <row r="83" spans="2:10" x14ac:dyDescent="0.2">
      <c r="C83" s="87"/>
      <c r="D83" s="86"/>
      <c r="E83" s="86"/>
      <c r="F83" s="86"/>
      <c r="G83" s="88"/>
      <c r="I83" s="89" t="s">
        <v>33</v>
      </c>
    </row>
    <row r="85" spans="2:10" x14ac:dyDescent="0.2">
      <c r="B85" s="90"/>
      <c r="C85" s="80"/>
      <c r="D85" s="81"/>
      <c r="E85" s="81"/>
      <c r="F85" s="81"/>
      <c r="G85" s="82"/>
    </row>
    <row r="86" spans="2:10" x14ac:dyDescent="0.2">
      <c r="C86" s="83" t="s">
        <v>32</v>
      </c>
      <c r="D86" s="8"/>
      <c r="E86" s="8"/>
      <c r="F86" s="8"/>
      <c r="G86" s="84"/>
    </row>
    <row r="87" spans="2:10" x14ac:dyDescent="0.2">
      <c r="C87" s="67"/>
      <c r="D87" s="8"/>
      <c r="E87" s="8"/>
      <c r="F87" s="8"/>
      <c r="G87" s="84"/>
    </row>
    <row r="88" spans="2:10" x14ac:dyDescent="0.2">
      <c r="C88" s="67"/>
      <c r="D88" s="8"/>
      <c r="E88" s="8"/>
      <c r="F88" s="8"/>
      <c r="G88" s="84"/>
      <c r="I88" s="86"/>
      <c r="J88" s="86"/>
    </row>
    <row r="89" spans="2:10" x14ac:dyDescent="0.2">
      <c r="C89" s="87"/>
      <c r="D89" s="86"/>
      <c r="E89" s="86"/>
      <c r="F89" s="86"/>
      <c r="G89" s="88"/>
      <c r="I89" s="89" t="s">
        <v>34</v>
      </c>
    </row>
  </sheetData>
  <mergeCells count="28">
    <mergeCell ref="E40:G40"/>
    <mergeCell ref="I40:K40"/>
    <mergeCell ref="C19:C20"/>
    <mergeCell ref="C21:C22"/>
    <mergeCell ref="C12:M12"/>
    <mergeCell ref="C13:M13"/>
    <mergeCell ref="C14:M14"/>
    <mergeCell ref="E39:G39"/>
    <mergeCell ref="I39:K39"/>
    <mergeCell ref="I44:K44"/>
    <mergeCell ref="C50:D50"/>
    <mergeCell ref="I50:K50"/>
    <mergeCell ref="I51:K51"/>
    <mergeCell ref="C51:D51"/>
    <mergeCell ref="E44:G44"/>
    <mergeCell ref="I41:K41"/>
    <mergeCell ref="E42:G42"/>
    <mergeCell ref="I42:K42"/>
    <mergeCell ref="E43:G43"/>
    <mergeCell ref="I43:K43"/>
    <mergeCell ref="E41:G41"/>
    <mergeCell ref="C54:D54"/>
    <mergeCell ref="C52:D52"/>
    <mergeCell ref="C53:D53"/>
    <mergeCell ref="E50:H53"/>
    <mergeCell ref="I52:K52"/>
    <mergeCell ref="I53:K53"/>
    <mergeCell ref="I54:K54"/>
  </mergeCells>
  <conditionalFormatting sqref="D35">
    <cfRule type="cellIs" dxfId="1" priority="1" operator="notEqual">
      <formula>1</formula>
    </cfRule>
  </conditionalFormatting>
  <dataValidations count="1">
    <dataValidation type="list" allowBlank="1" showInputMessage="1" showErrorMessage="1" prompt="Please refer sheet Reference  to know the meaning of each score." sqref="H40:H44 L40:M44">
      <formula1>"1,2,3,4,5"</formula1>
    </dataValidation>
  </dataValidations>
  <pageMargins left="0.35416666666666669" right="0.35416666666666669" top="0.39374999999999999" bottom="0.39374999999999999" header="0.51180555555555551" footer="0.31527777777777777"/>
  <pageSetup paperSize="9" scale="64" firstPageNumber="0" fitToHeight="0" orientation="landscape" horizontalDpi="300" verticalDpi="300" r:id="rId1"/>
  <headerFooter alignWithMargins="0">
    <oddFooter>&amp;Cpage &amp;P / &amp;N</oddFooter>
  </headerFooter>
  <rowBreaks count="1" manualBreakCount="1">
    <brk id="35" min="1" max="1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B2:K35"/>
  <sheetViews>
    <sheetView topLeftCell="A7" zoomScale="85" zoomScaleNormal="85" workbookViewId="0">
      <selection activeCell="K37" sqref="K3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131</v>
      </c>
      <c r="D3" s="390"/>
      <c r="E3" s="391"/>
    </row>
    <row r="4" spans="2:11" ht="16.5" thickBot="1" x14ac:dyDescent="0.25">
      <c r="B4" s="100" t="s">
        <v>35</v>
      </c>
    </row>
    <row r="5" spans="2:11" ht="48.75" customHeight="1" thickBot="1" x14ac:dyDescent="0.25">
      <c r="B5" s="143" t="s">
        <v>274</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customHeight="1" thickBot="1" x14ac:dyDescent="0.25">
      <c r="B9" s="100" t="s">
        <v>132</v>
      </c>
    </row>
    <row r="10" spans="2:11" ht="17.25" customHeight="1" thickBot="1" x14ac:dyDescent="0.25">
      <c r="B10" s="122"/>
      <c r="C10" s="133"/>
      <c r="D10" s="110" t="s">
        <v>126</v>
      </c>
      <c r="E10" s="111"/>
      <c r="F10" s="112" t="s">
        <v>127</v>
      </c>
      <c r="G10" s="111"/>
      <c r="H10" s="111"/>
      <c r="I10" s="111"/>
      <c r="J10" s="111"/>
      <c r="K10" s="113"/>
    </row>
    <row r="11" spans="2:11" ht="16.5" customHeight="1" thickBot="1" x14ac:dyDescent="0.25">
      <c r="B11" s="124" t="s">
        <v>120</v>
      </c>
      <c r="C11" s="131" t="s">
        <v>77</v>
      </c>
      <c r="D11" s="135"/>
      <c r="E11" s="134"/>
      <c r="F11" s="114" t="s">
        <v>0</v>
      </c>
      <c r="G11" s="115"/>
      <c r="H11" s="114" t="s">
        <v>1</v>
      </c>
      <c r="I11" s="115"/>
      <c r="J11" s="116" t="s">
        <v>9</v>
      </c>
      <c r="K11" s="115"/>
    </row>
    <row r="12" spans="2:11" ht="16.5" customHeight="1" thickBot="1" x14ac:dyDescent="0.25">
      <c r="B12" s="123"/>
      <c r="C12" s="132"/>
      <c r="D12" s="138" t="s">
        <v>118</v>
      </c>
      <c r="E12" s="139" t="s">
        <v>119</v>
      </c>
      <c r="F12" s="141" t="s">
        <v>118</v>
      </c>
      <c r="G12" s="140" t="s">
        <v>119</v>
      </c>
      <c r="H12" s="141" t="s">
        <v>118</v>
      </c>
      <c r="I12" s="140" t="s">
        <v>119</v>
      </c>
      <c r="J12" s="141" t="s">
        <v>118</v>
      </c>
      <c r="K12" s="140" t="s">
        <v>119</v>
      </c>
    </row>
    <row r="13" spans="2:11" ht="30" customHeight="1" x14ac:dyDescent="0.2">
      <c r="B13" s="125" t="s">
        <v>36</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79</v>
      </c>
      <c r="C14" s="129">
        <v>0.18</v>
      </c>
      <c r="D14" s="130">
        <v>2</v>
      </c>
      <c r="E14" s="155" t="str">
        <f>IF(D14&lt;&gt;"",VLOOKUP(D14,'Criteria &amp; Rating'!$C$50:$D$54,2,FALSE),"")</f>
        <v>Below basic productivity requirements; often misses deadlines; marginal output level.</v>
      </c>
      <c r="F14" s="130">
        <v>1</v>
      </c>
      <c r="G14" s="155" t="str">
        <f>IF(F14&lt;&gt;"",VLOOKUP(F14,'Criteria &amp; Rating'!$C$50:$D$54,2,FALSE),"")</f>
        <v>Fails to meet basic productivity requirements; misses deadlines, unsatisfactory output level.</v>
      </c>
      <c r="H14" s="130">
        <v>1</v>
      </c>
      <c r="I14" s="155" t="str">
        <f>IF(H14&lt;&gt;"",VLOOKUP(H14,'Criteria &amp; Rating'!$C$50:$D$54,2,FALSE),"")</f>
        <v>Fails to meet basic productivity requirements; misses deadlines, unsatisfactory output level.</v>
      </c>
      <c r="J14" s="130">
        <v>3</v>
      </c>
      <c r="K14" s="155" t="str">
        <f>IF(J14&lt;&gt;"",VLOOKUP(J14,'Criteria &amp; Rating'!$C$50:$D$54,2,FALSE),"")</f>
        <v>Meets basic productivity requirements; meets deadlines; acceptable output level.</v>
      </c>
    </row>
    <row r="15" spans="2:11" ht="42" customHeight="1" x14ac:dyDescent="0.2">
      <c r="B15" s="128" t="s">
        <v>37</v>
      </c>
      <c r="C15" s="129">
        <v>0.18</v>
      </c>
      <c r="D15" s="130">
        <v>3</v>
      </c>
      <c r="E15" s="155" t="str">
        <f>IF(D15&lt;&gt;"",VLOOKUP('Task #B1'!D15,'Criteria &amp; Rating'!$C$58:$D$62,2,FALSE),"")</f>
        <v>Requires normal direction/supervision on routine assignments; requires assistance with non-routine assignments.</v>
      </c>
      <c r="F15" s="130">
        <v>4</v>
      </c>
      <c r="G15" s="155" t="str">
        <f>IF(F15&lt;&gt;"",VLOOKUP('Task #B1'!F15,'Criteria &amp; Rating'!$C$58:$D$62,2,FALSE),"")</f>
        <v>Requires less than normal direction/supervision, even on non-routine assignments.</v>
      </c>
      <c r="H15" s="130">
        <v>4</v>
      </c>
      <c r="I15" s="155" t="str">
        <f>IF(H15&lt;&gt;"",VLOOKUP('Task #B1'!H15,'Criteria &amp; Rating'!$C$58:$D$62,2,FALSE),"")</f>
        <v>Requires less than normal direction/supervision, even on non-routine assignments.</v>
      </c>
      <c r="J15" s="130">
        <v>4</v>
      </c>
      <c r="K15" s="155" t="str">
        <f>IF(J15&lt;&gt;"",VLOOKUP('Task #B1'!J15,'Criteria &amp; Rating'!$C$58:$D$62,2,FALSE),"")</f>
        <v>Requires less than normal direction/supervision, even on non-routine assignments.</v>
      </c>
    </row>
    <row r="16" spans="2:11" ht="30"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v>3</v>
      </c>
      <c r="K16" s="155" t="str">
        <f>IF(J16&lt;&gt;"",VLOOKUP(J16,'Criteria &amp; Rating'!$C$66:$D$70,2,FALSE),"")</f>
        <v>Solves routine problems satisfactorily; requires assistance with complex problems.</v>
      </c>
    </row>
    <row r="17" spans="2:11" ht="30" customHeight="1" x14ac:dyDescent="0.2">
      <c r="B17" s="128" t="s">
        <v>39</v>
      </c>
      <c r="C17" s="129">
        <v>0.18</v>
      </c>
      <c r="D17" s="130">
        <v>3</v>
      </c>
      <c r="E17" s="155" t="str">
        <f>IF(D17,VLOOKUP('Task #B1'!D17,'Criteria &amp; Rating'!$C$74:$D$78,2,FALSE),"")</f>
        <v>Has knowledge and skills to handle job duties.</v>
      </c>
      <c r="F17" s="130">
        <v>2</v>
      </c>
      <c r="G17" s="155" t="str">
        <f>IF(F17,VLOOKUP('Task #B1'!F17,'Criteria &amp; Rating'!$C$74:$D$78,2,FALSE),"")</f>
        <v>Occasionally lacks knowledge or skills to handle certain job duties.</v>
      </c>
      <c r="H17" s="130">
        <v>2</v>
      </c>
      <c r="I17" s="155" t="str">
        <f>IF(H17,VLOOKUP('Task #B1'!H17,'Criteria &amp; Rating'!$C$74:$D$78,2,FALSE),"")</f>
        <v>Occasionally lacks knowledge or skills to handle certain job duties.</v>
      </c>
      <c r="J17" s="130">
        <v>2</v>
      </c>
      <c r="K17" s="155" t="str">
        <f>IF(J17,VLOOKUP('Task #B1'!J17,'Criteria &amp; Rating'!$C$74:$D$78,2,FALSE),"")</f>
        <v>Occasionally lacks knowledge or skills to handle certain job duties.</v>
      </c>
    </row>
    <row r="18" spans="2:11" ht="39.75" customHeight="1" thickBot="1" x14ac:dyDescent="0.25">
      <c r="B18" s="109" t="s">
        <v>38</v>
      </c>
      <c r="C18" s="108">
        <v>0.1</v>
      </c>
      <c r="D18" s="117">
        <v>3</v>
      </c>
      <c r="E18" s="156" t="str">
        <f>IF(D18&lt;&gt;"",VLOOKUP('Task #B1'!D18,'Criteria &amp; Rating'!$C$82:$D$86,2,FALSE),"")</f>
        <v>Meets basic job requirements for independent action and resourcefulness; acceptable worker.</v>
      </c>
      <c r="F18" s="117">
        <v>3</v>
      </c>
      <c r="G18" s="156" t="str">
        <f>IF(F18&lt;&gt;"",VLOOKUP('Task #B1'!F18,'Criteria &amp; Rating'!$C$82:$D$86,2,FALSE),"")</f>
        <v>Meets basic job requirements for independent action and resourcefulness; acceptable worker.</v>
      </c>
      <c r="H18" s="117">
        <v>3</v>
      </c>
      <c r="I18" s="156" t="str">
        <f>IF(H18&lt;&gt;"",VLOOKUP('Task #B1'!H18,'Criteria &amp; Rating'!$C$82:$D$86,2,FALSE),"")</f>
        <v>Meets basic job requirements for independent action and resourcefulness; acceptable worker.</v>
      </c>
      <c r="J18" s="117">
        <v>3</v>
      </c>
      <c r="K18" s="156" t="str">
        <f>IF(J18&lt;&gt;"",VLOOKUP('Task #B1'!J18,'Criteria &amp; Rating'!$C$82:$D$86,2,FALSE),"")</f>
        <v>Meets basic job requirements for independent action and resourcefulness; acceptable worker.</v>
      </c>
    </row>
    <row r="19" spans="2:11" ht="18.75" customHeight="1" thickBot="1" x14ac:dyDescent="0.25">
      <c r="B19" s="118" t="s">
        <v>117</v>
      </c>
      <c r="C19" s="119"/>
      <c r="D19" s="120">
        <f>SUMPRODUCT(D13:D18,$C$13:$C$18)</f>
        <v>3</v>
      </c>
      <c r="E19" s="121"/>
      <c r="F19" s="120">
        <f>SUMPRODUCT(F13:F18,$C$13:$C$18)</f>
        <v>2.8200000000000003</v>
      </c>
      <c r="G19" s="119"/>
      <c r="H19" s="120">
        <f>SUMPRODUCT(H13:H18,$C$13:$C$18)</f>
        <v>2.8200000000000003</v>
      </c>
      <c r="I19" s="121"/>
      <c r="J19" s="120">
        <f>SUMPRODUCT(J13:J18,$C$13:$C$18)</f>
        <v>3.1799999999999997</v>
      </c>
      <c r="K19" s="121"/>
    </row>
    <row r="21" spans="2:11" ht="3" customHeight="1" x14ac:dyDescent="0.2"/>
    <row r="22" spans="2:11" ht="15.75" hidden="1" x14ac:dyDescent="0.2">
      <c r="B22" s="100" t="s">
        <v>133</v>
      </c>
    </row>
    <row r="23" spans="2:11" ht="13.5" hidden="1" thickBot="1" x14ac:dyDescent="0.25">
      <c r="B23" s="122"/>
      <c r="C23" s="133"/>
      <c r="D23" s="110" t="s">
        <v>126</v>
      </c>
      <c r="E23" s="111"/>
      <c r="F23" s="112" t="s">
        <v>127</v>
      </c>
      <c r="G23" s="111"/>
      <c r="H23" s="111"/>
      <c r="I23" s="111"/>
      <c r="J23" s="111"/>
      <c r="K23" s="113"/>
    </row>
    <row r="24" spans="2:11" ht="13.5" hidden="1" thickBot="1" x14ac:dyDescent="0.25">
      <c r="B24" s="124" t="s">
        <v>120</v>
      </c>
      <c r="C24" s="131" t="s">
        <v>77</v>
      </c>
      <c r="D24" s="135"/>
      <c r="E24" s="134"/>
      <c r="F24" s="114" t="s">
        <v>0</v>
      </c>
      <c r="G24" s="115"/>
      <c r="H24" s="114" t="s">
        <v>1</v>
      </c>
      <c r="I24" s="115"/>
      <c r="J24" s="116" t="s">
        <v>9</v>
      </c>
      <c r="K24" s="115"/>
    </row>
    <row r="25" spans="2:11" ht="13.5" hidden="1" thickBot="1" x14ac:dyDescent="0.25">
      <c r="B25" s="123"/>
      <c r="C25" s="132"/>
      <c r="D25" s="138" t="s">
        <v>118</v>
      </c>
      <c r="E25" s="139" t="s">
        <v>119</v>
      </c>
      <c r="F25" s="141" t="s">
        <v>118</v>
      </c>
      <c r="G25" s="140" t="s">
        <v>119</v>
      </c>
      <c r="H25" s="141" t="s">
        <v>118</v>
      </c>
      <c r="I25" s="140" t="s">
        <v>119</v>
      </c>
      <c r="J25" s="141" t="s">
        <v>118</v>
      </c>
      <c r="K25" s="140" t="s">
        <v>119</v>
      </c>
    </row>
    <row r="26" spans="2:11" ht="37.5" hidden="1"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hidden="1"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hidden="1"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v>
      </c>
      <c r="E35" s="121"/>
      <c r="F35" s="120">
        <f>IF(TASK_TYPE="Management Work Task",F32,F19)</f>
        <v>2.8200000000000003</v>
      </c>
      <c r="G35" s="119"/>
      <c r="H35" s="120">
        <f>IF(TASK_TYPE="Management Work Task",H32,H19)</f>
        <v>2.8200000000000003</v>
      </c>
      <c r="I35" s="121"/>
      <c r="J35" s="120">
        <f>IF(TASK_TYPE="Management Work Task",J32,J19)</f>
        <v>3.1799999999999997</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2:K35"/>
  <sheetViews>
    <sheetView topLeftCell="A23" zoomScale="85" zoomScaleNormal="85" workbookViewId="0">
      <selection activeCell="K37" sqref="K3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189</v>
      </c>
      <c r="D3" s="390"/>
      <c r="E3" s="391"/>
    </row>
    <row r="4" spans="2:11" ht="16.5" thickBot="1" x14ac:dyDescent="0.25">
      <c r="B4" s="100" t="s">
        <v>35</v>
      </c>
    </row>
    <row r="5" spans="2:11" ht="48.75" customHeight="1" thickBot="1" x14ac:dyDescent="0.25">
      <c r="B5" s="143" t="s">
        <v>275</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hidden="1" customHeight="1" thickBot="1" x14ac:dyDescent="0.25">
      <c r="B9" s="100" t="s">
        <v>132</v>
      </c>
    </row>
    <row r="10" spans="2:11" ht="17.25" hidden="1" customHeight="1" thickBot="1" x14ac:dyDescent="0.25">
      <c r="B10" s="122"/>
      <c r="C10" s="133"/>
      <c r="D10" s="110" t="s">
        <v>126</v>
      </c>
      <c r="E10" s="111"/>
      <c r="F10" s="112" t="s">
        <v>127</v>
      </c>
      <c r="G10" s="111"/>
      <c r="H10" s="111"/>
      <c r="I10" s="111"/>
      <c r="J10" s="111"/>
      <c r="K10" s="113"/>
    </row>
    <row r="11" spans="2:11" ht="16.5" hidden="1" customHeight="1" thickBot="1" x14ac:dyDescent="0.25">
      <c r="B11" s="124" t="s">
        <v>120</v>
      </c>
      <c r="C11" s="131" t="s">
        <v>77</v>
      </c>
      <c r="D11" s="135"/>
      <c r="E11" s="134"/>
      <c r="F11" s="114" t="s">
        <v>0</v>
      </c>
      <c r="G11" s="115"/>
      <c r="H11" s="114" t="s">
        <v>1</v>
      </c>
      <c r="I11" s="115"/>
      <c r="J11" s="116" t="s">
        <v>9</v>
      </c>
      <c r="K11" s="115"/>
    </row>
    <row r="12" spans="2:11" ht="16.5" hidden="1" customHeight="1" thickBot="1" x14ac:dyDescent="0.25">
      <c r="B12" s="123"/>
      <c r="C12" s="132"/>
      <c r="D12" s="138" t="s">
        <v>118</v>
      </c>
      <c r="E12" s="139" t="s">
        <v>119</v>
      </c>
      <c r="F12" s="141" t="s">
        <v>118</v>
      </c>
      <c r="G12" s="140" t="s">
        <v>119</v>
      </c>
      <c r="H12" s="141" t="s">
        <v>118</v>
      </c>
      <c r="I12" s="140" t="s">
        <v>119</v>
      </c>
      <c r="J12" s="141" t="s">
        <v>118</v>
      </c>
      <c r="K12" s="140" t="s">
        <v>119</v>
      </c>
    </row>
    <row r="13" spans="2:11" ht="30" hidden="1" customHeight="1" x14ac:dyDescent="0.2">
      <c r="B13" s="125" t="s">
        <v>36</v>
      </c>
      <c r="C13" s="126">
        <v>0.18</v>
      </c>
      <c r="D13" s="127">
        <v>3</v>
      </c>
      <c r="E13" s="154" t="str">
        <f>IF(D13&lt;&gt;"",VLOOKUP(D13,'Criteria &amp; Rating'!$C$42:$D$46,2,FALSE),"")</f>
        <v>Produces acceptable work.</v>
      </c>
      <c r="F13" s="127">
        <v>2</v>
      </c>
      <c r="G13" s="154" t="str">
        <f>IF(F13&lt;&gt;"",VLOOKUP(F13,'Criteria &amp; Rating'!$C$42:$D$46,2,FALSE),"")</f>
        <v>Produces marginally acceptable work; makes more than an average number of errors.</v>
      </c>
      <c r="H13" s="127">
        <v>2</v>
      </c>
      <c r="I13" s="154" t="str">
        <f>IF(H13&lt;&gt;"",VLOOKUP(H13,'Criteria &amp; Rating'!$C$42:$D$46,2,FALSE),"")</f>
        <v>Produces marginally acceptable work; makes more than an average number of errors.</v>
      </c>
      <c r="J13" s="127">
        <v>2</v>
      </c>
      <c r="K13" s="154" t="str">
        <f>IF(J13&lt;&gt;"",VLOOKUP(J13,'Criteria &amp; Rating'!$C$42:$D$46,2,FALSE),"")</f>
        <v>Produces marginally acceptable work; makes more than an average number of errors.</v>
      </c>
    </row>
    <row r="14" spans="2:11" ht="39.75" hidden="1"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hidden="1" customHeight="1" x14ac:dyDescent="0.2">
      <c r="B15" s="128" t="s">
        <v>37</v>
      </c>
      <c r="C15" s="129">
        <v>0.18</v>
      </c>
      <c r="D15" s="130">
        <v>3</v>
      </c>
      <c r="E15" s="155" t="str">
        <f>IF(D15&lt;&gt;"",VLOOKUP('Task #B2'!D15,'Criteria &amp; Rating'!$C$58:$D$62,2,FALSE),"")</f>
        <v>Requires normal direction/supervision on routine assignments; requires assistance with non-routine assignments.</v>
      </c>
      <c r="F15" s="130">
        <v>2</v>
      </c>
      <c r="G15" s="155" t="str">
        <f>IF(F15&lt;&gt;"",VLOOKUP('Task #B2'!F15,'Criteria &amp; Rating'!$C$58:$D$62,2,FALSE),"")</f>
        <v>Requires more than normal direction and supervision to complete assignments.</v>
      </c>
      <c r="H15" s="130">
        <v>2</v>
      </c>
      <c r="I15" s="155" t="str">
        <f>IF(H15&lt;&gt;"",VLOOKUP('Task #B2'!H15,'Criteria &amp; Rating'!$C$58:$D$62,2,FALSE),"")</f>
        <v>Requires more than normal direction and supervision to complete assignments.</v>
      </c>
      <c r="J15" s="130">
        <v>2</v>
      </c>
      <c r="K15" s="155" t="str">
        <f>IF(J15&lt;&gt;"",VLOOKUP('Task #B2'!J15,'Criteria &amp; Rating'!$C$58:$D$62,2,FALSE),"")</f>
        <v>Requires more than normal direction and supervision to complete assignments.</v>
      </c>
    </row>
    <row r="16" spans="2:11" ht="30" hidden="1"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2</v>
      </c>
      <c r="I16" s="155" t="str">
        <f>IF(H16&lt;&gt;"",VLOOKUP(H16,'Criteria &amp; Rating'!$C$66:$D$70,2,FALSE),"")</f>
        <v>Has difficulty recognizing and solving routine problems; analytical skills need improvement.</v>
      </c>
      <c r="J16" s="130">
        <v>2</v>
      </c>
      <c r="K16" s="155" t="str">
        <f>IF(J16&lt;&gt;"",VLOOKUP(J16,'Criteria &amp; Rating'!$C$66:$D$70,2,FALSE),"")</f>
        <v>Has difficulty recognizing and solving routine problems; analytical skills need improvement.</v>
      </c>
    </row>
    <row r="17" spans="2:11" ht="30" hidden="1" customHeight="1" x14ac:dyDescent="0.2">
      <c r="B17" s="128" t="s">
        <v>39</v>
      </c>
      <c r="C17" s="129">
        <v>0.18</v>
      </c>
      <c r="D17" s="130">
        <v>3</v>
      </c>
      <c r="E17" s="155" t="str">
        <f>IF(D17,VLOOKUP('Task #B2'!D17,'Criteria &amp; Rating'!$C$74:$D$78,2,FALSE),"")</f>
        <v>Has knowledge and skills to handle job duties.</v>
      </c>
      <c r="F17" s="130">
        <v>2</v>
      </c>
      <c r="G17" s="155" t="str">
        <f>IF(F17,VLOOKUP('Task #B2'!F17,'Criteria &amp; Rating'!$C$74:$D$78,2,FALSE),"")</f>
        <v>Occasionally lacks knowledge or skills to handle certain job duties.</v>
      </c>
      <c r="H17" s="130">
        <v>2</v>
      </c>
      <c r="I17" s="155" t="str">
        <f>IF(H17,VLOOKUP('Task #B2'!H17,'Criteria &amp; Rating'!$C$74:$D$78,2,FALSE),"")</f>
        <v>Occasionally lacks knowledge or skills to handle certain job duties.</v>
      </c>
      <c r="J17" s="130">
        <v>2</v>
      </c>
      <c r="K17" s="155" t="str">
        <f>IF(J17,VLOOKUP('Task #B2'!J17,'Criteria &amp; Rating'!$C$74:$D$78,2,FALSE),"")</f>
        <v>Occasionally lacks knowledge or skills to handle certain job duties.</v>
      </c>
    </row>
    <row r="18" spans="2:11" ht="39.75" hidden="1" customHeight="1" thickBot="1" x14ac:dyDescent="0.25">
      <c r="B18" s="109" t="s">
        <v>38</v>
      </c>
      <c r="C18" s="108">
        <v>0.1</v>
      </c>
      <c r="D18" s="117">
        <v>3</v>
      </c>
      <c r="E18" s="156" t="str">
        <f>IF(D18&lt;&gt;"",VLOOKUP('Task #B2'!D18,'Criteria &amp; Rating'!$C$82:$D$86,2,FALSE),"")</f>
        <v>Meets basic job requirements for independent action and resourcefulness; acceptable worker.</v>
      </c>
      <c r="F18" s="117">
        <v>3</v>
      </c>
      <c r="G18" s="156" t="str">
        <f>IF(F18&lt;&gt;"",VLOOKUP('Task #B2'!F18,'Criteria &amp; Rating'!$C$82:$D$86,2,FALSE),"")</f>
        <v>Meets basic job requirements for independent action and resourcefulness; acceptable worker.</v>
      </c>
      <c r="H18" s="117">
        <v>3</v>
      </c>
      <c r="I18" s="156" t="str">
        <f>IF(H18&lt;&gt;"",VLOOKUP('Task #B2'!H18,'Criteria &amp; Rating'!$C$82:$D$86,2,FALSE),"")</f>
        <v>Meets basic job requirements for independent action and resourcefulness; acceptable worker.</v>
      </c>
      <c r="J18" s="117">
        <v>3</v>
      </c>
      <c r="K18" s="156" t="str">
        <f>IF(J18&lt;&gt;"",VLOOKUP('Task #B2'!J18,'Criteria &amp; Rating'!$C$82:$D$86,2,FALSE),"")</f>
        <v>Meets basic job requirements for independent action and resourcefulness; acceptable worker.</v>
      </c>
    </row>
    <row r="19" spans="2:11" ht="18.75" hidden="1" customHeight="1" thickBot="1" x14ac:dyDescent="0.25">
      <c r="B19" s="118" t="s">
        <v>117</v>
      </c>
      <c r="C19" s="119"/>
      <c r="D19" s="120">
        <f>SUMPRODUCT(D13:D18,$C$13:$C$18)</f>
        <v>3.3600000000000003</v>
      </c>
      <c r="E19" s="121"/>
      <c r="F19" s="120">
        <f>SUMPRODUCT(F13:F18,$C$13:$C$18)</f>
        <v>2.46</v>
      </c>
      <c r="G19" s="119"/>
      <c r="H19" s="120">
        <f>SUMPRODUCT(H13:H18,$C$13:$C$18)</f>
        <v>2.2800000000000002</v>
      </c>
      <c r="I19" s="121"/>
      <c r="J19" s="120">
        <f>SUMPRODUCT(J13:J18,$C$13:$C$18)</f>
        <v>2.2800000000000002</v>
      </c>
      <c r="K19" s="121"/>
    </row>
    <row r="21" spans="2:11" ht="3" customHeight="1" x14ac:dyDescent="0.2"/>
    <row r="22" spans="2:11" ht="16.5" thickBot="1" x14ac:dyDescent="0.25">
      <c r="B22" s="100" t="s">
        <v>133</v>
      </c>
    </row>
    <row r="23" spans="2:11" ht="13.5" thickBot="1" x14ac:dyDescent="0.25">
      <c r="B23" s="122"/>
      <c r="C23" s="133"/>
      <c r="D23" s="110" t="s">
        <v>126</v>
      </c>
      <c r="E23" s="111"/>
      <c r="F23" s="112" t="s">
        <v>127</v>
      </c>
      <c r="G23" s="111"/>
      <c r="H23" s="111"/>
      <c r="I23" s="111"/>
      <c r="J23" s="111"/>
      <c r="K23" s="113"/>
    </row>
    <row r="24" spans="2:11" ht="13.5" thickBot="1" x14ac:dyDescent="0.25">
      <c r="B24" s="124" t="s">
        <v>120</v>
      </c>
      <c r="C24" s="131" t="s">
        <v>77</v>
      </c>
      <c r="D24" s="135"/>
      <c r="E24" s="134"/>
      <c r="F24" s="114" t="s">
        <v>0</v>
      </c>
      <c r="G24" s="115"/>
      <c r="H24" s="114" t="s">
        <v>1</v>
      </c>
      <c r="I24" s="115"/>
      <c r="J24" s="116" t="s">
        <v>9</v>
      </c>
      <c r="K24" s="115"/>
    </row>
    <row r="25" spans="2:11" ht="13.5" thickBot="1" x14ac:dyDescent="0.25">
      <c r="B25" s="123"/>
      <c r="C25" s="132"/>
      <c r="D25" s="138" t="s">
        <v>118</v>
      </c>
      <c r="E25" s="139" t="s">
        <v>119</v>
      </c>
      <c r="F25" s="141" t="s">
        <v>118</v>
      </c>
      <c r="G25" s="140" t="s">
        <v>119</v>
      </c>
      <c r="H25" s="141" t="s">
        <v>118</v>
      </c>
      <c r="I25" s="140" t="s">
        <v>119</v>
      </c>
      <c r="J25" s="141" t="s">
        <v>118</v>
      </c>
      <c r="K25" s="140" t="s">
        <v>119</v>
      </c>
    </row>
    <row r="26" spans="2:11" ht="37.5"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customHeight="1" x14ac:dyDescent="0.2">
      <c r="B28" s="128" t="s">
        <v>298</v>
      </c>
      <c r="C28" s="129">
        <v>0.15</v>
      </c>
      <c r="D28" s="130">
        <v>3</v>
      </c>
      <c r="E28" s="155" t="str">
        <f>IF(D28&lt;&gt;"",VLOOKUP(D28,'Criteria &amp; Rating'!$C$122:$D$126,2,FALSE),"")</f>
        <v>Acecptable cost management activities activities and results</v>
      </c>
      <c r="F28" s="130">
        <v>1</v>
      </c>
      <c r="G28" s="155" t="str">
        <f>IF(F28&lt;&gt;"",VLOOKUP(F28,'Criteria &amp; Rating'!$C$122:$D$126,2,FALSE),"")</f>
        <v>Very Poor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1</v>
      </c>
      <c r="I29" s="155" t="str">
        <f>IF(H29&lt;&gt;"",VLOOKUP(H29,'Criteria &amp; Rating'!$C$122:$D$126,2,FALSE),"")</f>
        <v>Very Poor cost management activities and results</v>
      </c>
      <c r="J29" s="130">
        <v>4</v>
      </c>
      <c r="K29" s="155" t="str">
        <f>IF(J29&lt;&gt;"",VLOOKUP(J29,'Criteria &amp; Rating'!$C$122:$D$126,2,FALSE),"")</f>
        <v>Good cost management activities and results</v>
      </c>
    </row>
    <row r="30" spans="2:11" ht="75"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customHeight="1" thickBot="1" x14ac:dyDescent="0.25">
      <c r="B32" s="118" t="s">
        <v>117</v>
      </c>
      <c r="C32" s="119"/>
      <c r="D32" s="120">
        <f>SUMPRODUCT(D26:D31,$C$26:$C$31)</f>
        <v>3</v>
      </c>
      <c r="E32" s="121"/>
      <c r="F32" s="120">
        <f>SUMPRODUCT(F26:F31,$C$26:$C$31)</f>
        <v>2.4499999999999993</v>
      </c>
      <c r="G32" s="119"/>
      <c r="H32" s="120">
        <f>SUMPRODUCT(H26:H31,$C$26:$C$31)</f>
        <v>2.7</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v>
      </c>
      <c r="E35" s="121"/>
      <c r="F35" s="120">
        <f>IF(TASK_TYPE="Management Work Task",F32,F19)</f>
        <v>2.4499999999999993</v>
      </c>
      <c r="G35" s="119"/>
      <c r="H35" s="120">
        <f>IF(TASK_TYPE="Management Work Task",H32,H19)</f>
        <v>2.7</v>
      </c>
      <c r="I35" s="121"/>
      <c r="J35" s="120">
        <f>IF(TASK_TYPE="Management Work Task",J32,J19)</f>
        <v>3.05</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70C0"/>
  </sheetPr>
  <dimension ref="B2:K35"/>
  <sheetViews>
    <sheetView zoomScale="85" zoomScaleNormal="85" workbookViewId="0">
      <selection activeCell="K37" sqref="K3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208</v>
      </c>
      <c r="D3" s="390"/>
      <c r="E3" s="391"/>
    </row>
    <row r="4" spans="2:11" ht="16.5" thickBot="1" x14ac:dyDescent="0.25">
      <c r="B4" s="100" t="s">
        <v>35</v>
      </c>
    </row>
    <row r="5" spans="2:11" ht="48.75" customHeight="1" thickBot="1" x14ac:dyDescent="0.25">
      <c r="B5" s="143" t="s">
        <v>276</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customHeight="1" thickBot="1" x14ac:dyDescent="0.25">
      <c r="B9" s="100" t="s">
        <v>132</v>
      </c>
    </row>
    <row r="10" spans="2:11" ht="17.25" customHeight="1" thickBot="1" x14ac:dyDescent="0.25">
      <c r="B10" s="122"/>
      <c r="C10" s="133"/>
      <c r="D10" s="110" t="s">
        <v>126</v>
      </c>
      <c r="E10" s="111"/>
      <c r="F10" s="112" t="s">
        <v>127</v>
      </c>
      <c r="G10" s="111"/>
      <c r="H10" s="111"/>
      <c r="I10" s="111"/>
      <c r="J10" s="111"/>
      <c r="K10" s="113"/>
    </row>
    <row r="11" spans="2:11" ht="16.5" customHeight="1" thickBot="1" x14ac:dyDescent="0.25">
      <c r="B11" s="124" t="s">
        <v>120</v>
      </c>
      <c r="C11" s="131" t="s">
        <v>77</v>
      </c>
      <c r="D11" s="135"/>
      <c r="E11" s="134"/>
      <c r="F11" s="114" t="s">
        <v>0</v>
      </c>
      <c r="G11" s="115"/>
      <c r="H11" s="114" t="s">
        <v>1</v>
      </c>
      <c r="I11" s="115"/>
      <c r="J11" s="116" t="s">
        <v>9</v>
      </c>
      <c r="K11" s="115"/>
    </row>
    <row r="12" spans="2:11" ht="16.5" customHeight="1" thickBot="1" x14ac:dyDescent="0.25">
      <c r="B12" s="123"/>
      <c r="C12" s="132"/>
      <c r="D12" s="138" t="s">
        <v>118</v>
      </c>
      <c r="E12" s="139" t="s">
        <v>119</v>
      </c>
      <c r="F12" s="141" t="s">
        <v>118</v>
      </c>
      <c r="G12" s="140" t="s">
        <v>119</v>
      </c>
      <c r="H12" s="141" t="s">
        <v>118</v>
      </c>
      <c r="I12" s="140" t="s">
        <v>119</v>
      </c>
      <c r="J12" s="141" t="s">
        <v>118</v>
      </c>
      <c r="K12" s="140" t="s">
        <v>119</v>
      </c>
    </row>
    <row r="13" spans="2:11" ht="30" customHeight="1" x14ac:dyDescent="0.2">
      <c r="B13" s="125" t="s">
        <v>36</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37</v>
      </c>
      <c r="C15" s="129">
        <v>0.18</v>
      </c>
      <c r="D15" s="130">
        <v>3</v>
      </c>
      <c r="E15" s="155" t="str">
        <f>IF(D15&lt;&gt;"",VLOOKUP('Task #B3'!D15,'Criteria &amp; Rating'!$C$58:$D$62,2,FALSE),"")</f>
        <v>Requires normal direction/supervision on routine assignments; requires assistance with non-routine assignments.</v>
      </c>
      <c r="F15" s="130">
        <v>2</v>
      </c>
      <c r="G15" s="155" t="str">
        <f>IF(F15&lt;&gt;"",VLOOKUP('Task #B3'!F15,'Criteria &amp; Rating'!$C$58:$D$62,2,FALSE),"")</f>
        <v>Requires more than normal direction and supervision to complete assignments.</v>
      </c>
      <c r="H15" s="130">
        <v>2</v>
      </c>
      <c r="I15" s="155" t="str">
        <f>IF(H15&lt;&gt;"",VLOOKUP('Task #B3'!H15,'Criteria &amp; Rating'!$C$58:$D$62,2,FALSE),"")</f>
        <v>Requires more than normal direction and supervision to complete assignments.</v>
      </c>
      <c r="J15" s="130">
        <v>4</v>
      </c>
      <c r="K15" s="155" t="str">
        <f>IF(J15&lt;&gt;"",VLOOKUP('Task #B3'!J15,'Criteria &amp; Rating'!$C$58:$D$62,2,FALSE),"")</f>
        <v>Requires less than normal direction/supervision, even on non-routine assignments.</v>
      </c>
    </row>
    <row r="16" spans="2:11" ht="30"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v>3</v>
      </c>
      <c r="K16" s="155" t="str">
        <f>IF(J16&lt;&gt;"",VLOOKUP(J16,'Criteria &amp; Rating'!$C$66:$D$70,2,FALSE),"")</f>
        <v>Solves routine problems satisfactorily; requires assistance with complex problems.</v>
      </c>
    </row>
    <row r="17" spans="2:11" ht="30" customHeight="1" x14ac:dyDescent="0.2">
      <c r="B17" s="128" t="s">
        <v>39</v>
      </c>
      <c r="C17" s="129">
        <v>0.18</v>
      </c>
      <c r="D17" s="130">
        <v>3</v>
      </c>
      <c r="E17" s="155" t="str">
        <f>IF(D17,VLOOKUP('Task #B3'!D17,'Criteria &amp; Rating'!$C$74:$D$78,2,FALSE),"")</f>
        <v>Has knowledge and skills to handle job duties.</v>
      </c>
      <c r="F17" s="130">
        <v>2</v>
      </c>
      <c r="G17" s="155" t="str">
        <f>IF(F17,VLOOKUP('Task #B3'!F17,'Criteria &amp; Rating'!$C$74:$D$78,2,FALSE),"")</f>
        <v>Occasionally lacks knowledge or skills to handle certain job duties.</v>
      </c>
      <c r="H17" s="130">
        <v>2</v>
      </c>
      <c r="I17" s="155" t="str">
        <f>IF(H17,VLOOKUP('Task #B3'!H17,'Criteria &amp; Rating'!$C$74:$D$78,2,FALSE),"")</f>
        <v>Occasionally lacks knowledge or skills to handle certain job duties.</v>
      </c>
      <c r="J17" s="130">
        <v>2</v>
      </c>
      <c r="K17" s="155" t="str">
        <f>IF(J17,VLOOKUP('Task #B3'!J17,'Criteria &amp; Rating'!$C$74:$D$78,2,FALSE),"")</f>
        <v>Occasionally lacks knowledge or skills to handle certain job duties.</v>
      </c>
    </row>
    <row r="18" spans="2:11" ht="39.75" customHeight="1" thickBot="1" x14ac:dyDescent="0.25">
      <c r="B18" s="109" t="s">
        <v>38</v>
      </c>
      <c r="C18" s="108">
        <v>0.1</v>
      </c>
      <c r="D18" s="117">
        <v>3</v>
      </c>
      <c r="E18" s="156" t="str">
        <f>IF(D18&lt;&gt;"",VLOOKUP('Task #B3'!D18,'Criteria &amp; Rating'!$C$82:$D$86,2,FALSE),"")</f>
        <v>Meets basic job requirements for independent action and resourcefulness; acceptable worker.</v>
      </c>
      <c r="F18" s="117">
        <v>2</v>
      </c>
      <c r="G18" s="156" t="str">
        <f>IF(F18&lt;&gt;"",VLOOKUP('Task #B3'!F18,'Criteria &amp; Rating'!$C$82:$D$86,2,FALSE),"")</f>
        <v>Sometimes lacks independent action and resourcefulness required by job; marginal worker.</v>
      </c>
      <c r="H18" s="117">
        <v>4</v>
      </c>
      <c r="I18" s="156" t="str">
        <f>IF(H18&lt;&gt;"",VLOOKUP('Task #B3'!H18,'Criteria &amp; Rating'!$C$82:$D$86,2,FALSE),"")</f>
        <v>Exceeds requirements for independent action and resourcefulness; diligent worker.</v>
      </c>
      <c r="J18" s="117">
        <v>3</v>
      </c>
      <c r="K18" s="156" t="str">
        <f>IF(J18&lt;&gt;"",VLOOKUP('Task #B3'!J18,'Criteria &amp; Rating'!$C$82:$D$86,2,FALSE),"")</f>
        <v>Meets basic job requirements for independent action and resourcefulness; acceptable worker.</v>
      </c>
    </row>
    <row r="19" spans="2:11" ht="18.75" customHeight="1" thickBot="1" x14ac:dyDescent="0.25">
      <c r="B19" s="118" t="s">
        <v>117</v>
      </c>
      <c r="C19" s="119"/>
      <c r="D19" s="120">
        <f>SUMPRODUCT(D13:D18,$C$13:$C$18)</f>
        <v>3.3600000000000003</v>
      </c>
      <c r="E19" s="121"/>
      <c r="F19" s="120">
        <f>SUMPRODUCT(F13:F18,$C$13:$C$18)</f>
        <v>2.72</v>
      </c>
      <c r="G19" s="119"/>
      <c r="H19" s="120">
        <f>SUMPRODUCT(H13:H18,$C$13:$C$18)</f>
        <v>2.92</v>
      </c>
      <c r="I19" s="121"/>
      <c r="J19" s="120">
        <f>SUMPRODUCT(J13:J18,$C$13:$C$18)</f>
        <v>3.1799999999999997</v>
      </c>
      <c r="K19" s="121"/>
    </row>
    <row r="21" spans="2:11" ht="3" customHeight="1" x14ac:dyDescent="0.2"/>
    <row r="22" spans="2:11" ht="15.75" hidden="1" x14ac:dyDescent="0.2">
      <c r="B22" s="100" t="s">
        <v>133</v>
      </c>
    </row>
    <row r="23" spans="2:11" ht="13.5" hidden="1" thickBot="1" x14ac:dyDescent="0.25">
      <c r="B23" s="122"/>
      <c r="C23" s="133"/>
      <c r="D23" s="110" t="s">
        <v>126</v>
      </c>
      <c r="E23" s="111"/>
      <c r="F23" s="112" t="s">
        <v>127</v>
      </c>
      <c r="G23" s="111"/>
      <c r="H23" s="111"/>
      <c r="I23" s="111"/>
      <c r="J23" s="111"/>
      <c r="K23" s="113"/>
    </row>
    <row r="24" spans="2:11" ht="13.5" hidden="1" thickBot="1" x14ac:dyDescent="0.25">
      <c r="B24" s="124" t="s">
        <v>120</v>
      </c>
      <c r="C24" s="131" t="s">
        <v>77</v>
      </c>
      <c r="D24" s="135"/>
      <c r="E24" s="134"/>
      <c r="F24" s="114" t="s">
        <v>0</v>
      </c>
      <c r="G24" s="115"/>
      <c r="H24" s="114" t="s">
        <v>1</v>
      </c>
      <c r="I24" s="115"/>
      <c r="J24" s="116" t="s">
        <v>9</v>
      </c>
      <c r="K24" s="115"/>
    </row>
    <row r="25" spans="2:11" ht="13.5" hidden="1" thickBot="1" x14ac:dyDescent="0.25">
      <c r="B25" s="123"/>
      <c r="C25" s="132"/>
      <c r="D25" s="138" t="s">
        <v>118</v>
      </c>
      <c r="E25" s="139" t="s">
        <v>119</v>
      </c>
      <c r="F25" s="141" t="s">
        <v>118</v>
      </c>
      <c r="G25" s="140" t="s">
        <v>119</v>
      </c>
      <c r="H25" s="141" t="s">
        <v>118</v>
      </c>
      <c r="I25" s="140" t="s">
        <v>119</v>
      </c>
      <c r="J25" s="141" t="s">
        <v>118</v>
      </c>
      <c r="K25" s="140" t="s">
        <v>119</v>
      </c>
    </row>
    <row r="26" spans="2:11" ht="37.5" hidden="1"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hidden="1"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hidden="1"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3.3600000000000003</v>
      </c>
      <c r="E35" s="121"/>
      <c r="F35" s="120">
        <f>IF(TASK_TYPE="Management Work Task",F32,F19)</f>
        <v>2.72</v>
      </c>
      <c r="G35" s="119"/>
      <c r="H35" s="120">
        <f>IF(TASK_TYPE="Management Work Task",H32,H19)</f>
        <v>2.92</v>
      </c>
      <c r="I35" s="121"/>
      <c r="J35" s="120">
        <f>IF(TASK_TYPE="Management Work Task",J32,J19)</f>
        <v>3.1799999999999997</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70C0"/>
  </sheetPr>
  <dimension ref="B2:K35"/>
  <sheetViews>
    <sheetView zoomScale="85" zoomScaleNormal="85" workbookViewId="0">
      <selection activeCell="K37" sqref="K3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131</v>
      </c>
      <c r="D3" s="390"/>
      <c r="E3" s="391"/>
    </row>
    <row r="4" spans="2:11" ht="16.5" thickBot="1" x14ac:dyDescent="0.25">
      <c r="B4" s="100" t="s">
        <v>35</v>
      </c>
    </row>
    <row r="5" spans="2:11" ht="48.75" customHeight="1" thickBot="1" x14ac:dyDescent="0.25">
      <c r="B5" s="143" t="s">
        <v>277</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customHeight="1" thickBot="1" x14ac:dyDescent="0.25">
      <c r="B9" s="100" t="s">
        <v>132</v>
      </c>
    </row>
    <row r="10" spans="2:11" ht="17.25" customHeight="1" thickBot="1" x14ac:dyDescent="0.25">
      <c r="B10" s="122"/>
      <c r="C10" s="133"/>
      <c r="D10" s="110" t="s">
        <v>126</v>
      </c>
      <c r="E10" s="111"/>
      <c r="F10" s="112" t="s">
        <v>127</v>
      </c>
      <c r="G10" s="111"/>
      <c r="H10" s="111"/>
      <c r="I10" s="111"/>
      <c r="J10" s="111"/>
      <c r="K10" s="113"/>
    </row>
    <row r="11" spans="2:11" ht="16.5" customHeight="1" thickBot="1" x14ac:dyDescent="0.25">
      <c r="B11" s="124" t="s">
        <v>120</v>
      </c>
      <c r="C11" s="131" t="s">
        <v>77</v>
      </c>
      <c r="D11" s="135"/>
      <c r="E11" s="134"/>
      <c r="F11" s="114" t="s">
        <v>0</v>
      </c>
      <c r="G11" s="115"/>
      <c r="H11" s="114" t="s">
        <v>1</v>
      </c>
      <c r="I11" s="115"/>
      <c r="J11" s="116" t="s">
        <v>9</v>
      </c>
      <c r="K11" s="115"/>
    </row>
    <row r="12" spans="2:11" ht="16.5" customHeight="1" thickBot="1" x14ac:dyDescent="0.25">
      <c r="B12" s="123"/>
      <c r="C12" s="132"/>
      <c r="D12" s="138" t="s">
        <v>118</v>
      </c>
      <c r="E12" s="139" t="s">
        <v>119</v>
      </c>
      <c r="F12" s="141" t="s">
        <v>118</v>
      </c>
      <c r="G12" s="140" t="s">
        <v>119</v>
      </c>
      <c r="H12" s="141" t="s">
        <v>118</v>
      </c>
      <c r="I12" s="140" t="s">
        <v>119</v>
      </c>
      <c r="J12" s="141" t="s">
        <v>118</v>
      </c>
      <c r="K12" s="140" t="s">
        <v>119</v>
      </c>
    </row>
    <row r="13" spans="2:11" ht="30" customHeight="1" x14ac:dyDescent="0.2">
      <c r="B13" s="125" t="s">
        <v>36</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37</v>
      </c>
      <c r="C15" s="129">
        <v>0.18</v>
      </c>
      <c r="D15" s="130">
        <v>3</v>
      </c>
      <c r="E15" s="155" t="str">
        <f>IF(D15&lt;&gt;"",VLOOKUP('Task #B4'!D15,'Criteria &amp; Rating'!$C$58:$D$62,2,FALSE),"")</f>
        <v>Requires normal direction/supervision on routine assignments; requires assistance with non-routine assignments.</v>
      </c>
      <c r="F15" s="130">
        <v>2</v>
      </c>
      <c r="G15" s="155" t="str">
        <f>IF(F15&lt;&gt;"",VLOOKUP('Task #B4'!F15,'Criteria &amp; Rating'!$C$58:$D$62,2,FALSE),"")</f>
        <v>Requires more than normal direction and supervision to complete assignments.</v>
      </c>
      <c r="H15" s="130">
        <v>2</v>
      </c>
      <c r="I15" s="155" t="str">
        <f>IF(H15&lt;&gt;"",VLOOKUP('Task #B4'!H15,'Criteria &amp; Rating'!$C$58:$D$62,2,FALSE),"")</f>
        <v>Requires more than normal direction and supervision to complete assignments.</v>
      </c>
      <c r="J15" s="130">
        <v>4</v>
      </c>
      <c r="K15" s="155" t="str">
        <f>IF(J15&lt;&gt;"",VLOOKUP('Task #B4'!J15,'Criteria &amp; Rating'!$C$58:$D$62,2,FALSE),"")</f>
        <v>Requires less than normal direction/supervision, even on non-routine assignments.</v>
      </c>
    </row>
    <row r="16" spans="2:11" ht="30"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4</v>
      </c>
      <c r="I16" s="155" t="str">
        <f>IF(H16&lt;&gt;"",VLOOKUP(H16,'Criteria &amp; Rating'!$C$66:$D$70,2,FALSE),"")</f>
        <v>Demonstrates good problem-solving skills; occasionally able to handle complex problems.</v>
      </c>
      <c r="J16" s="130">
        <v>2</v>
      </c>
      <c r="K16" s="155" t="str">
        <f>IF(J16&lt;&gt;"",VLOOKUP(J16,'Criteria &amp; Rating'!$C$66:$D$70,2,FALSE),"")</f>
        <v>Has difficulty recognizing and solving routine problems; analytical skills need improvement.</v>
      </c>
    </row>
    <row r="17" spans="2:11" ht="30" customHeight="1" x14ac:dyDescent="0.2">
      <c r="B17" s="128" t="s">
        <v>39</v>
      </c>
      <c r="C17" s="129">
        <v>0.18</v>
      </c>
      <c r="D17" s="130">
        <v>3</v>
      </c>
      <c r="E17" s="155" t="str">
        <f>IF(D17,VLOOKUP('Task #B4'!D17,'Criteria &amp; Rating'!$C$74:$D$78,2,FALSE),"")</f>
        <v>Has knowledge and skills to handle job duties.</v>
      </c>
      <c r="F17" s="130">
        <v>3</v>
      </c>
      <c r="G17" s="155" t="str">
        <f>IF(F17,VLOOKUP('Task #B4'!F17,'Criteria &amp; Rating'!$C$74:$D$78,2,FALSE),"")</f>
        <v>Has knowledge and skills to handle job duties.</v>
      </c>
      <c r="H17" s="130">
        <v>2</v>
      </c>
      <c r="I17" s="155" t="str">
        <f>IF(H17,VLOOKUP('Task #B4'!H17,'Criteria &amp; Rating'!$C$74:$D$78,2,FALSE),"")</f>
        <v>Occasionally lacks knowledge or skills to handle certain job duties.</v>
      </c>
      <c r="J17" s="130">
        <v>2</v>
      </c>
      <c r="K17" s="155" t="str">
        <f>IF(J17,VLOOKUP('Task #B4'!J17,'Criteria &amp; Rating'!$C$74:$D$78,2,FALSE),"")</f>
        <v>Occasionally lacks knowledge or skills to handle certain job duties.</v>
      </c>
    </row>
    <row r="18" spans="2:11" ht="39.75" customHeight="1" thickBot="1" x14ac:dyDescent="0.25">
      <c r="B18" s="109" t="s">
        <v>38</v>
      </c>
      <c r="C18" s="108">
        <v>0.1</v>
      </c>
      <c r="D18" s="117">
        <v>3</v>
      </c>
      <c r="E18" s="156" t="str">
        <f>IF(D18&lt;&gt;"",VLOOKUP('Task #B4'!D18,'Criteria &amp; Rating'!$C$82:$D$86,2,FALSE),"")</f>
        <v>Meets basic job requirements for independent action and resourcefulness; acceptable worker.</v>
      </c>
      <c r="F18" s="117">
        <v>3</v>
      </c>
      <c r="G18" s="156" t="str">
        <f>IF(F18&lt;&gt;"",VLOOKUP('Task #B4'!F18,'Criteria &amp; Rating'!$C$82:$D$86,2,FALSE),"")</f>
        <v>Meets basic job requirements for independent action and resourcefulness; acceptable worker.</v>
      </c>
      <c r="H18" s="117">
        <v>3</v>
      </c>
      <c r="I18" s="156" t="str">
        <f>IF(H18&lt;&gt;"",VLOOKUP('Task #B4'!H18,'Criteria &amp; Rating'!$C$82:$D$86,2,FALSE),"")</f>
        <v>Meets basic job requirements for independent action and resourcefulness; acceptable worker.</v>
      </c>
      <c r="J18" s="117">
        <v>3</v>
      </c>
      <c r="K18" s="156" t="str">
        <f>IF(J18&lt;&gt;"",VLOOKUP('Task #B4'!J18,'Criteria &amp; Rating'!$C$82:$D$86,2,FALSE),"")</f>
        <v>Meets basic job requirements for independent action and resourcefulness; acceptable worker.</v>
      </c>
    </row>
    <row r="19" spans="2:11" ht="18.75" customHeight="1" thickBot="1" x14ac:dyDescent="0.25">
      <c r="B19" s="118" t="s">
        <v>117</v>
      </c>
      <c r="C19" s="119"/>
      <c r="D19" s="120">
        <f>SUMPRODUCT(D13:D18,$C$13:$C$18)</f>
        <v>3.3600000000000003</v>
      </c>
      <c r="E19" s="121"/>
      <c r="F19" s="120">
        <f>SUMPRODUCT(F13:F18,$C$13:$C$18)</f>
        <v>3</v>
      </c>
      <c r="G19" s="119"/>
      <c r="H19" s="120">
        <f>SUMPRODUCT(H13:H18,$C$13:$C$18)</f>
        <v>3</v>
      </c>
      <c r="I19" s="121"/>
      <c r="J19" s="120">
        <f>SUMPRODUCT(J13:J18,$C$13:$C$18)</f>
        <v>3</v>
      </c>
      <c r="K19" s="121"/>
    </row>
    <row r="21" spans="2:11" ht="3" customHeight="1" x14ac:dyDescent="0.2"/>
    <row r="22" spans="2:11" ht="15.75" hidden="1" x14ac:dyDescent="0.2">
      <c r="B22" s="100" t="s">
        <v>133</v>
      </c>
    </row>
    <row r="23" spans="2:11" ht="13.5" hidden="1" thickBot="1" x14ac:dyDescent="0.25">
      <c r="B23" s="122"/>
      <c r="C23" s="133"/>
      <c r="D23" s="110" t="s">
        <v>126</v>
      </c>
      <c r="E23" s="111"/>
      <c r="F23" s="112" t="s">
        <v>127</v>
      </c>
      <c r="G23" s="111"/>
      <c r="H23" s="111"/>
      <c r="I23" s="111"/>
      <c r="J23" s="111"/>
      <c r="K23" s="113"/>
    </row>
    <row r="24" spans="2:11" ht="13.5" hidden="1" thickBot="1" x14ac:dyDescent="0.25">
      <c r="B24" s="124" t="s">
        <v>120</v>
      </c>
      <c r="C24" s="131" t="s">
        <v>77</v>
      </c>
      <c r="D24" s="135"/>
      <c r="E24" s="134"/>
      <c r="F24" s="114" t="s">
        <v>0</v>
      </c>
      <c r="G24" s="115"/>
      <c r="H24" s="114" t="s">
        <v>1</v>
      </c>
      <c r="I24" s="115"/>
      <c r="J24" s="116" t="s">
        <v>9</v>
      </c>
      <c r="K24" s="115"/>
    </row>
    <row r="25" spans="2:11" ht="13.5" hidden="1" thickBot="1" x14ac:dyDescent="0.25">
      <c r="B25" s="123"/>
      <c r="C25" s="132"/>
      <c r="D25" s="138" t="s">
        <v>118</v>
      </c>
      <c r="E25" s="139" t="s">
        <v>119</v>
      </c>
      <c r="F25" s="141" t="s">
        <v>118</v>
      </c>
      <c r="G25" s="140" t="s">
        <v>119</v>
      </c>
      <c r="H25" s="141" t="s">
        <v>118</v>
      </c>
      <c r="I25" s="140" t="s">
        <v>119</v>
      </c>
      <c r="J25" s="141" t="s">
        <v>118</v>
      </c>
      <c r="K25" s="140" t="s">
        <v>119</v>
      </c>
    </row>
    <row r="26" spans="2:11" ht="37.5" hidden="1"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hidden="1"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hidden="1"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3.3600000000000003</v>
      </c>
      <c r="E35" s="121"/>
      <c r="F35" s="120">
        <f>IF(TASK_TYPE="Management Work Task",F32,F19)</f>
        <v>3</v>
      </c>
      <c r="G35" s="119"/>
      <c r="H35" s="120">
        <f>IF(TASK_TYPE="Management Work Task",H32,H19)</f>
        <v>3</v>
      </c>
      <c r="I35" s="121"/>
      <c r="J35" s="120">
        <f>IF(TASK_TYPE="Management Work Task",J32,J19)</f>
        <v>3</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70C0"/>
  </sheetPr>
  <dimension ref="B2:K35"/>
  <sheetViews>
    <sheetView topLeftCell="A20" zoomScale="85" zoomScaleNormal="85" workbookViewId="0">
      <selection activeCell="K37" sqref="K3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189</v>
      </c>
      <c r="D3" s="390"/>
      <c r="E3" s="391"/>
    </row>
    <row r="4" spans="2:11" ht="16.5" thickBot="1" x14ac:dyDescent="0.25">
      <c r="B4" s="100" t="s">
        <v>35</v>
      </c>
    </row>
    <row r="5" spans="2:11" ht="48.75" customHeight="1" thickBot="1" x14ac:dyDescent="0.25">
      <c r="B5" s="143" t="s">
        <v>278</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hidden="1" customHeight="1" thickBot="1" x14ac:dyDescent="0.25">
      <c r="B9" s="100" t="s">
        <v>132</v>
      </c>
    </row>
    <row r="10" spans="2:11" ht="17.25" hidden="1" customHeight="1" thickBot="1" x14ac:dyDescent="0.25">
      <c r="B10" s="122"/>
      <c r="C10" s="133"/>
      <c r="D10" s="110" t="s">
        <v>126</v>
      </c>
      <c r="E10" s="111"/>
      <c r="F10" s="112" t="s">
        <v>127</v>
      </c>
      <c r="G10" s="111"/>
      <c r="H10" s="111"/>
      <c r="I10" s="111"/>
      <c r="J10" s="111"/>
      <c r="K10" s="113"/>
    </row>
    <row r="11" spans="2:11" ht="16.5" hidden="1" customHeight="1" thickBot="1" x14ac:dyDescent="0.25">
      <c r="B11" s="124" t="s">
        <v>120</v>
      </c>
      <c r="C11" s="131" t="s">
        <v>77</v>
      </c>
      <c r="D11" s="135"/>
      <c r="E11" s="134"/>
      <c r="F11" s="114" t="s">
        <v>0</v>
      </c>
      <c r="G11" s="115"/>
      <c r="H11" s="114" t="s">
        <v>1</v>
      </c>
      <c r="I11" s="115"/>
      <c r="J11" s="116" t="s">
        <v>9</v>
      </c>
      <c r="K11" s="115"/>
    </row>
    <row r="12" spans="2:11" ht="16.5" hidden="1" customHeight="1" thickBot="1" x14ac:dyDescent="0.25">
      <c r="B12" s="123"/>
      <c r="C12" s="132"/>
      <c r="D12" s="138" t="s">
        <v>118</v>
      </c>
      <c r="E12" s="139" t="s">
        <v>119</v>
      </c>
      <c r="F12" s="141" t="s">
        <v>118</v>
      </c>
      <c r="G12" s="140" t="s">
        <v>119</v>
      </c>
      <c r="H12" s="141" t="s">
        <v>118</v>
      </c>
      <c r="I12" s="140" t="s">
        <v>119</v>
      </c>
      <c r="J12" s="141" t="s">
        <v>118</v>
      </c>
      <c r="K12" s="140" t="s">
        <v>119</v>
      </c>
    </row>
    <row r="13" spans="2:11" ht="30" hidden="1" customHeight="1" x14ac:dyDescent="0.2">
      <c r="B13" s="125" t="s">
        <v>36</v>
      </c>
      <c r="C13" s="126">
        <v>0.18</v>
      </c>
      <c r="D13" s="127">
        <v>1</v>
      </c>
      <c r="E13" s="154" t="str">
        <f>IF(D13&lt;&gt;"",VLOOKUP(D13,'Criteria &amp; Rating'!$C$42:$D$46,2,FALSE),"")</f>
        <v>Produces unacceptable work; makes excessive errors.</v>
      </c>
      <c r="F13" s="127">
        <v>1</v>
      </c>
      <c r="G13" s="154" t="str">
        <f>IF(F13&lt;&gt;"",VLOOKUP(F13,'Criteria &amp; Rating'!$C$42:$D$46,2,FALSE),"")</f>
        <v>Produces unacceptable work; makes excessive errors.</v>
      </c>
      <c r="H13" s="127">
        <v>1</v>
      </c>
      <c r="I13" s="154" t="str">
        <f>IF(H13&lt;&gt;"",VLOOKUP(H13,'Criteria &amp; Rating'!$C$42:$D$46,2,FALSE),"")</f>
        <v>Produces unacceptable work; makes excessive errors.</v>
      </c>
      <c r="J13" s="127">
        <v>1</v>
      </c>
      <c r="K13" s="154" t="str">
        <f>IF(J13&lt;&gt;"",VLOOKUP(J13,'Criteria &amp; Rating'!$C$42:$D$46,2,FALSE),"")</f>
        <v>Produces unacceptable work; makes excessive errors.</v>
      </c>
    </row>
    <row r="14" spans="2:11" ht="39.75" hidden="1" customHeight="1" x14ac:dyDescent="0.2">
      <c r="B14" s="128" t="s">
        <v>79</v>
      </c>
      <c r="C14" s="129">
        <v>0.18</v>
      </c>
      <c r="D14" s="130">
        <v>1</v>
      </c>
      <c r="E14" s="155" t="str">
        <f>IF(D14&lt;&gt;"",VLOOKUP(D14,'Criteria &amp; Rating'!$C$50:$D$54,2,FALSE),"")</f>
        <v>Fails to meet basic productivity requirements; misses deadlines, unsatisfactory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1</v>
      </c>
      <c r="K14" s="155" t="str">
        <f>IF(J14&lt;&gt;"",VLOOKUP(J14,'Criteria &amp; Rating'!$C$50:$D$54,2,FALSE),"")</f>
        <v>Fails to meet basic productivity requirements; misses deadlines, unsatisfactory output level.</v>
      </c>
    </row>
    <row r="15" spans="2:11" ht="42" hidden="1" customHeight="1" x14ac:dyDescent="0.2">
      <c r="B15" s="128" t="s">
        <v>37</v>
      </c>
      <c r="C15" s="129">
        <v>0.18</v>
      </c>
      <c r="D15" s="130">
        <v>1</v>
      </c>
      <c r="E15" s="155" t="str">
        <f>IF(D15&lt;&gt;"",VLOOKUP('Task #B5'!D15,'Criteria &amp; Rating'!$C$58:$D$62,2,FALSE),"")</f>
        <v>Requires constant direction and supervision to complete assignments.</v>
      </c>
      <c r="F15" s="130">
        <v>2</v>
      </c>
      <c r="G15" s="155" t="str">
        <f>IF(F15&lt;&gt;"",VLOOKUP('Task #B5'!F15,'Criteria &amp; Rating'!$C$58:$D$62,2,FALSE),"")</f>
        <v>Requires more than normal direction and supervision to complete assignments.</v>
      </c>
      <c r="H15" s="130">
        <v>4</v>
      </c>
      <c r="I15" s="155" t="str">
        <f>IF(H15&lt;&gt;"",VLOOKUP('Task #B5'!H15,'Criteria &amp; Rating'!$C$58:$D$62,2,FALSE),"")</f>
        <v>Requires less than normal direction/supervision, even on non-routine assignments.</v>
      </c>
      <c r="J15" s="130">
        <v>1</v>
      </c>
      <c r="K15" s="155" t="str">
        <f>IF(J15&lt;&gt;"",VLOOKUP('Task #B5'!J15,'Criteria &amp; Rating'!$C$58:$D$62,2,FALSE),"")</f>
        <v>Requires constant direction and supervision to complete assignments.</v>
      </c>
    </row>
    <row r="16" spans="2:11" ht="30" hidden="1"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1</v>
      </c>
      <c r="I16" s="155" t="str">
        <f>IF(H16&lt;&gt;"",VLOOKUP(H16,'Criteria &amp; Rating'!$C$66:$D$70,2,FALSE),"")</f>
        <v>Cannot recognize or solve problems; does not show evidence of needed analytical skills.</v>
      </c>
      <c r="J16" s="130">
        <v>3</v>
      </c>
      <c r="K16" s="155" t="str">
        <f>IF(J16&lt;&gt;"",VLOOKUP(J16,'Criteria &amp; Rating'!$C$66:$D$70,2,FALSE),"")</f>
        <v>Solves routine problems satisfactorily; requires assistance with complex problems.</v>
      </c>
    </row>
    <row r="17" spans="2:11" ht="30" hidden="1" customHeight="1" x14ac:dyDescent="0.2">
      <c r="B17" s="128" t="s">
        <v>39</v>
      </c>
      <c r="C17" s="129">
        <v>0.18</v>
      </c>
      <c r="D17" s="130">
        <v>3</v>
      </c>
      <c r="E17" s="155" t="str">
        <f>IF(D17,VLOOKUP('Task #B5'!D17,'Criteria &amp; Rating'!$C$74:$D$78,2,FALSE),"")</f>
        <v>Has knowledge and skills to handle job duties.</v>
      </c>
      <c r="F17" s="130">
        <v>2</v>
      </c>
      <c r="G17" s="155" t="str">
        <f>IF(F17,VLOOKUP('Task #B5'!F17,'Criteria &amp; Rating'!$C$74:$D$78,2,FALSE),"")</f>
        <v>Occasionally lacks knowledge or skills to handle certain job duties.</v>
      </c>
      <c r="H17" s="130">
        <v>2</v>
      </c>
      <c r="I17" s="155" t="str">
        <f>IF(H17,VLOOKUP('Task #B5'!H17,'Criteria &amp; Rating'!$C$74:$D$78,2,FALSE),"")</f>
        <v>Occasionally lacks knowledge or skills to handle certain job duties.</v>
      </c>
      <c r="J17" s="130">
        <v>2</v>
      </c>
      <c r="K17" s="155" t="str">
        <f>IF(J17,VLOOKUP('Task #B5'!J17,'Criteria &amp; Rating'!$C$74:$D$78,2,FALSE),"")</f>
        <v>Occasionally lacks knowledge or skills to handle certain job duties.</v>
      </c>
    </row>
    <row r="18" spans="2:11" ht="39.75" hidden="1" customHeight="1" thickBot="1" x14ac:dyDescent="0.25">
      <c r="B18" s="109" t="s">
        <v>38</v>
      </c>
      <c r="C18" s="108">
        <v>0.1</v>
      </c>
      <c r="D18" s="117">
        <v>3</v>
      </c>
      <c r="E18" s="156" t="str">
        <f>IF(D18&lt;&gt;"",VLOOKUP('Task #B5'!D18,'Criteria &amp; Rating'!$C$82:$D$86,2,FALSE),"")</f>
        <v>Meets basic job requirements for independent action and resourcefulness; acceptable worker.</v>
      </c>
      <c r="F18" s="117">
        <v>3</v>
      </c>
      <c r="G18" s="156" t="str">
        <f>IF(F18&lt;&gt;"",VLOOKUP('Task #B5'!F18,'Criteria &amp; Rating'!$C$82:$D$86,2,FALSE),"")</f>
        <v>Meets basic job requirements for independent action and resourcefulness; acceptable worker.</v>
      </c>
      <c r="H18" s="117">
        <v>3</v>
      </c>
      <c r="I18" s="156" t="str">
        <f>IF(H18&lt;&gt;"",VLOOKUP('Task #B5'!H18,'Criteria &amp; Rating'!$C$82:$D$86,2,FALSE),"")</f>
        <v>Meets basic job requirements for independent action and resourcefulness; acceptable worker.</v>
      </c>
      <c r="J18" s="117">
        <v>3</v>
      </c>
      <c r="K18" s="156" t="str">
        <f>IF(J18&lt;&gt;"",VLOOKUP('Task #B5'!J18,'Criteria &amp; Rating'!$C$82:$D$86,2,FALSE),"")</f>
        <v>Meets basic job requirements for independent action and resourcefulness; acceptable worker.</v>
      </c>
    </row>
    <row r="19" spans="2:11" ht="18.75" hidden="1" customHeight="1" thickBot="1" x14ac:dyDescent="0.25">
      <c r="B19" s="118" t="s">
        <v>117</v>
      </c>
      <c r="C19" s="119"/>
      <c r="D19" s="120">
        <f>SUMPRODUCT(D13:D18,$C$13:$C$18)</f>
        <v>2.1</v>
      </c>
      <c r="E19" s="121"/>
      <c r="F19" s="120">
        <f>SUMPRODUCT(F13:F18,$C$13:$C$18)</f>
        <v>2.2800000000000002</v>
      </c>
      <c r="G19" s="119"/>
      <c r="H19" s="120">
        <f>SUMPRODUCT(H13:H18,$C$13:$C$18)</f>
        <v>2.2800000000000002</v>
      </c>
      <c r="I19" s="121"/>
      <c r="J19" s="120">
        <f>SUMPRODUCT(J13:J18,$C$13:$C$18)</f>
        <v>1.74</v>
      </c>
      <c r="K19" s="121"/>
    </row>
    <row r="21" spans="2:11" ht="3" customHeight="1" x14ac:dyDescent="0.2"/>
    <row r="22" spans="2:11" ht="16.5" thickBot="1" x14ac:dyDescent="0.25">
      <c r="B22" s="100" t="s">
        <v>133</v>
      </c>
    </row>
    <row r="23" spans="2:11" ht="13.5" thickBot="1" x14ac:dyDescent="0.25">
      <c r="B23" s="122"/>
      <c r="C23" s="133"/>
      <c r="D23" s="110" t="s">
        <v>126</v>
      </c>
      <c r="E23" s="111"/>
      <c r="F23" s="112" t="s">
        <v>127</v>
      </c>
      <c r="G23" s="111"/>
      <c r="H23" s="111"/>
      <c r="I23" s="111"/>
      <c r="J23" s="111"/>
      <c r="K23" s="113"/>
    </row>
    <row r="24" spans="2:11" ht="13.5" thickBot="1" x14ac:dyDescent="0.25">
      <c r="B24" s="124" t="s">
        <v>120</v>
      </c>
      <c r="C24" s="131" t="s">
        <v>77</v>
      </c>
      <c r="D24" s="135"/>
      <c r="E24" s="134"/>
      <c r="F24" s="114" t="s">
        <v>0</v>
      </c>
      <c r="G24" s="115"/>
      <c r="H24" s="114" t="s">
        <v>1</v>
      </c>
      <c r="I24" s="115"/>
      <c r="J24" s="116" t="s">
        <v>9</v>
      </c>
      <c r="K24" s="115"/>
    </row>
    <row r="25" spans="2:11" ht="13.5" thickBot="1" x14ac:dyDescent="0.25">
      <c r="B25" s="123"/>
      <c r="C25" s="132"/>
      <c r="D25" s="138" t="s">
        <v>118</v>
      </c>
      <c r="E25" s="139" t="s">
        <v>119</v>
      </c>
      <c r="F25" s="141" t="s">
        <v>118</v>
      </c>
      <c r="G25" s="140" t="s">
        <v>119</v>
      </c>
      <c r="H25" s="141" t="s">
        <v>118</v>
      </c>
      <c r="I25" s="140" t="s">
        <v>119</v>
      </c>
      <c r="J25" s="141" t="s">
        <v>118</v>
      </c>
      <c r="K25" s="140" t="s">
        <v>119</v>
      </c>
    </row>
    <row r="26" spans="2:11" ht="37.5"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customHeight="1" x14ac:dyDescent="0.2">
      <c r="B30" s="128" t="s">
        <v>88</v>
      </c>
      <c r="C30" s="129">
        <v>0.15</v>
      </c>
      <c r="D30" s="130">
        <v>3</v>
      </c>
      <c r="E30" s="155" t="str">
        <f>IF(D30&lt;&gt;"",VLOOKUP(D30,'Criteria &amp; Rating'!$C$142:$D$146,2,FALSE),"")</f>
        <v>Meets customer needs; communicates adequately with customers.</v>
      </c>
      <c r="F30" s="130">
        <v>2</v>
      </c>
      <c r="G30" s="155" t="str">
        <f>IF(F30&lt;&gt;"",VLOOKUP(F30,'Criteria &amp; Rating'!$C$142:$D$146,2,FALSE),"")</f>
        <v>Meets most customer needs; communication with customers needs improvement.</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2</v>
      </c>
      <c r="I31" s="155" t="str">
        <f>IF(H31&lt;&gt;"",VLOOKUP(H31,'Criteria &amp; Rating'!$C$122:$D$126,2,FALSE),"")</f>
        <v>Poor cost management activities and results</v>
      </c>
      <c r="J31" s="130">
        <v>2</v>
      </c>
      <c r="K31" s="155" t="str">
        <f>IF(J31&lt;&gt;"",VLOOKUP(J31,'Criteria &amp; Rating'!$C$122:$D$126,2,FALSE),"")</f>
        <v>Poor cost management activities and results</v>
      </c>
    </row>
    <row r="32" spans="2:11" ht="18" customHeight="1" thickBot="1" x14ac:dyDescent="0.25">
      <c r="B32" s="118" t="s">
        <v>117</v>
      </c>
      <c r="C32" s="119"/>
      <c r="D32" s="120">
        <f>SUMPRODUCT(D26:D31,$C$26:$C$31)</f>
        <v>3</v>
      </c>
      <c r="E32" s="121"/>
      <c r="F32" s="120">
        <f>SUMPRODUCT(F26:F31,$C$26:$C$31)</f>
        <v>2.7499999999999996</v>
      </c>
      <c r="G32" s="119"/>
      <c r="H32" s="120">
        <f>SUMPRODUCT(H26:H31,$C$26:$C$31)</f>
        <v>2.8499999999999996</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v>
      </c>
      <c r="E35" s="121"/>
      <c r="F35" s="120">
        <f>IF(TASK_TYPE="Management Work Task",F32,F19)</f>
        <v>2.7499999999999996</v>
      </c>
      <c r="G35" s="119"/>
      <c r="H35" s="120">
        <f>IF(TASK_TYPE="Management Work Task",H32,H19)</f>
        <v>2.8499999999999996</v>
      </c>
      <c r="I35" s="121"/>
      <c r="J35" s="120">
        <f>IF(TASK_TYPE="Management Work Task",J32,J19)</f>
        <v>3.05</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B2:K35"/>
  <sheetViews>
    <sheetView zoomScale="85" zoomScaleNormal="85" workbookViewId="0">
      <selection activeCell="F37" sqref="F3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131</v>
      </c>
      <c r="D3" s="390"/>
      <c r="E3" s="391"/>
    </row>
    <row r="4" spans="2:11" ht="16.5" thickBot="1" x14ac:dyDescent="0.25">
      <c r="B4" s="100" t="s">
        <v>35</v>
      </c>
    </row>
    <row r="5" spans="2:11" ht="48.75" customHeight="1" thickBot="1" x14ac:dyDescent="0.25">
      <c r="B5" s="143" t="s">
        <v>331</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customHeight="1" thickBot="1" x14ac:dyDescent="0.25">
      <c r="B9" s="100" t="s">
        <v>132</v>
      </c>
    </row>
    <row r="10" spans="2:11" ht="17.25" customHeight="1" thickBot="1" x14ac:dyDescent="0.25">
      <c r="B10" s="122"/>
      <c r="C10" s="133"/>
      <c r="D10" s="110" t="s">
        <v>126</v>
      </c>
      <c r="E10" s="111"/>
      <c r="F10" s="112" t="s">
        <v>127</v>
      </c>
      <c r="G10" s="111"/>
      <c r="H10" s="111"/>
      <c r="I10" s="111"/>
      <c r="J10" s="111"/>
      <c r="K10" s="113"/>
    </row>
    <row r="11" spans="2:11" ht="16.5" customHeight="1" thickBot="1" x14ac:dyDescent="0.25">
      <c r="B11" s="124" t="s">
        <v>120</v>
      </c>
      <c r="C11" s="131" t="s">
        <v>77</v>
      </c>
      <c r="D11" s="135"/>
      <c r="E11" s="134"/>
      <c r="F11" s="114" t="s">
        <v>0</v>
      </c>
      <c r="G11" s="115"/>
      <c r="H11" s="114" t="s">
        <v>1</v>
      </c>
      <c r="I11" s="115"/>
      <c r="J11" s="116" t="s">
        <v>9</v>
      </c>
      <c r="K11" s="115"/>
    </row>
    <row r="12" spans="2:11" ht="16.5" customHeight="1" thickBot="1" x14ac:dyDescent="0.25">
      <c r="B12" s="123"/>
      <c r="C12" s="132"/>
      <c r="D12" s="138" t="s">
        <v>118</v>
      </c>
      <c r="E12" s="139" t="s">
        <v>119</v>
      </c>
      <c r="F12" s="141" t="s">
        <v>118</v>
      </c>
      <c r="G12" s="140" t="s">
        <v>119</v>
      </c>
      <c r="H12" s="141" t="s">
        <v>118</v>
      </c>
      <c r="I12" s="140" t="s">
        <v>119</v>
      </c>
      <c r="J12" s="141" t="s">
        <v>118</v>
      </c>
      <c r="K12" s="140" t="s">
        <v>119</v>
      </c>
    </row>
    <row r="13" spans="2:11" ht="30" customHeight="1" x14ac:dyDescent="0.2">
      <c r="B13" s="125" t="s">
        <v>36</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37</v>
      </c>
      <c r="C15" s="129">
        <v>0.18</v>
      </c>
      <c r="D15" s="130">
        <v>3</v>
      </c>
      <c r="E15" s="155" t="str">
        <f>IF(D15&lt;&gt;"",VLOOKUP('Task #A1'!D15,'Criteria &amp; Rating'!$C$58:$D$62,2,FALSE),"")</f>
        <v>Requires normal direction/supervision on routine assignments; requires assistance with non-routine assignments.</v>
      </c>
      <c r="F15" s="130">
        <v>4</v>
      </c>
      <c r="G15" s="155" t="str">
        <f>IF(F15&lt;&gt;"",VLOOKUP('Task #A1'!F15,'Criteria &amp; Rating'!$C$58:$D$62,2,FALSE),"")</f>
        <v>Requires less than normal direction/supervision, even on non-routine assignments.</v>
      </c>
      <c r="H15" s="130">
        <v>4</v>
      </c>
      <c r="I15" s="155" t="str">
        <f>IF(H15&lt;&gt;"",VLOOKUP('Task #A1'!H15,'Criteria &amp; Rating'!$C$58:$D$62,2,FALSE),"")</f>
        <v>Requires less than normal direction/supervision, even on non-routine assignments.</v>
      </c>
      <c r="J15" s="130">
        <v>4</v>
      </c>
      <c r="K15" s="155" t="str">
        <f>IF(J15&lt;&gt;"",VLOOKUP('Task #A1'!J15,'Criteria &amp; Rating'!$C$58:$D$62,2,FALSE),"")</f>
        <v>Requires less than normal direction/supervision, even on non-routine assignments.</v>
      </c>
    </row>
    <row r="16" spans="2:11" ht="30"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v>3</v>
      </c>
      <c r="K16" s="155" t="str">
        <f>IF(J16&lt;&gt;"",VLOOKUP(J16,'Criteria &amp; Rating'!$C$66:$D$70,2,FALSE),"")</f>
        <v>Solves routine problems satisfactorily; requires assistance with complex problems.</v>
      </c>
    </row>
    <row r="17" spans="2:11" ht="30" customHeight="1" x14ac:dyDescent="0.2">
      <c r="B17" s="128" t="s">
        <v>39</v>
      </c>
      <c r="C17" s="129">
        <v>0.18</v>
      </c>
      <c r="D17" s="130">
        <v>3</v>
      </c>
      <c r="E17" s="155" t="str">
        <f>IF(D17,VLOOKUP('Task #A1'!D17,'Criteria &amp; Rating'!$C$74:$D$78,2,FALSE),"")</f>
        <v>Has knowledge and skills to handle job duties.</v>
      </c>
      <c r="F17" s="130">
        <v>2</v>
      </c>
      <c r="G17" s="155" t="str">
        <f>IF(F17,VLOOKUP('Task #A1'!F17,'Criteria &amp; Rating'!$C$74:$D$78,2,FALSE),"")</f>
        <v>Occasionally lacks knowledge or skills to handle certain job duties.</v>
      </c>
      <c r="H17" s="130">
        <v>2</v>
      </c>
      <c r="I17" s="155" t="str">
        <f>IF(H17,VLOOKUP('Task #A1'!H17,'Criteria &amp; Rating'!$C$74:$D$78,2,FALSE),"")</f>
        <v>Occasionally lacks knowledge or skills to handle certain job duties.</v>
      </c>
      <c r="J17" s="130">
        <v>2</v>
      </c>
      <c r="K17" s="155" t="str">
        <f>IF(J17,VLOOKUP('Task #A1'!J17,'Criteria &amp; Rating'!$C$74:$D$78,2,FALSE),"")</f>
        <v>Occasionally lacks knowledge or skills to handle certain job duties.</v>
      </c>
    </row>
    <row r="18" spans="2:11" ht="39.75" customHeight="1" thickBot="1" x14ac:dyDescent="0.25">
      <c r="B18" s="109" t="s">
        <v>38</v>
      </c>
      <c r="C18" s="108">
        <v>0.1</v>
      </c>
      <c r="D18" s="117">
        <v>3</v>
      </c>
      <c r="E18" s="156" t="str">
        <f>IF(D18&lt;&gt;"",VLOOKUP('Task #A1'!D18,'Criteria &amp; Rating'!$C$82:$D$86,2,FALSE),"")</f>
        <v>Meets basic job requirements for independent action and resourcefulness; acceptable worker.</v>
      </c>
      <c r="F18" s="117">
        <v>3</v>
      </c>
      <c r="G18" s="156" t="str">
        <f>IF(F18&lt;&gt;"",VLOOKUP('Task #A1'!F18,'Criteria &amp; Rating'!$C$82:$D$86,2,FALSE),"")</f>
        <v>Meets basic job requirements for independent action and resourcefulness; acceptable worker.</v>
      </c>
      <c r="H18" s="117">
        <v>3</v>
      </c>
      <c r="I18" s="156" t="str">
        <f>IF(H18&lt;&gt;"",VLOOKUP('Task #A1'!H18,'Criteria &amp; Rating'!$C$82:$D$86,2,FALSE),"")</f>
        <v>Meets basic job requirements for independent action and resourcefulness; acceptable worker.</v>
      </c>
      <c r="J18" s="117">
        <v>3</v>
      </c>
      <c r="K18" s="156" t="str">
        <f>IF(J18&lt;&gt;"",VLOOKUP('Task #A1'!J18,'Criteria &amp; Rating'!$C$82:$D$86,2,FALSE),"")</f>
        <v>Meets basic job requirements for independent action and resourcefulness; acceptable worker.</v>
      </c>
    </row>
    <row r="19" spans="2:11" ht="18.75" customHeight="1" thickBot="1" x14ac:dyDescent="0.25">
      <c r="B19" s="118" t="s">
        <v>117</v>
      </c>
      <c r="C19" s="119"/>
      <c r="D19" s="120">
        <f>SUMPRODUCT(D13:D18,$C$13:$C$18)</f>
        <v>3.3600000000000003</v>
      </c>
      <c r="E19" s="121"/>
      <c r="F19" s="120">
        <f>SUMPRODUCT(F13:F18,$C$13:$C$18)</f>
        <v>3.1799999999999997</v>
      </c>
      <c r="G19" s="119"/>
      <c r="H19" s="120">
        <f>SUMPRODUCT(H13:H18,$C$13:$C$18)</f>
        <v>3.1799999999999997</v>
      </c>
      <c r="I19" s="121"/>
      <c r="J19" s="120">
        <f>SUMPRODUCT(J13:J18,$C$13:$C$18)</f>
        <v>3.1799999999999997</v>
      </c>
      <c r="K19" s="121"/>
    </row>
    <row r="21" spans="2:11" ht="3" customHeight="1" x14ac:dyDescent="0.2"/>
    <row r="22" spans="2:11" ht="16.5" hidden="1" thickBot="1" x14ac:dyDescent="0.25">
      <c r="B22" s="100" t="s">
        <v>133</v>
      </c>
    </row>
    <row r="23" spans="2:11" ht="13.5" hidden="1" thickBot="1" x14ac:dyDescent="0.25">
      <c r="B23" s="122"/>
      <c r="C23" s="133"/>
      <c r="D23" s="110" t="s">
        <v>126</v>
      </c>
      <c r="E23" s="111"/>
      <c r="F23" s="112" t="s">
        <v>127</v>
      </c>
      <c r="G23" s="111"/>
      <c r="H23" s="111"/>
      <c r="I23" s="111"/>
      <c r="J23" s="111"/>
      <c r="K23" s="113"/>
    </row>
    <row r="24" spans="2:11" ht="13.5" hidden="1" thickBot="1" x14ac:dyDescent="0.25">
      <c r="B24" s="124" t="s">
        <v>120</v>
      </c>
      <c r="C24" s="131" t="s">
        <v>77</v>
      </c>
      <c r="D24" s="135"/>
      <c r="E24" s="134"/>
      <c r="F24" s="114" t="s">
        <v>0</v>
      </c>
      <c r="G24" s="115"/>
      <c r="H24" s="114" t="s">
        <v>1</v>
      </c>
      <c r="I24" s="115"/>
      <c r="J24" s="116" t="s">
        <v>9</v>
      </c>
      <c r="K24" s="115"/>
    </row>
    <row r="25" spans="2:11" ht="13.5" hidden="1" thickBot="1" x14ac:dyDescent="0.25">
      <c r="B25" s="123"/>
      <c r="C25" s="132"/>
      <c r="D25" s="138" t="s">
        <v>118</v>
      </c>
      <c r="E25" s="139" t="s">
        <v>119</v>
      </c>
      <c r="F25" s="141" t="s">
        <v>118</v>
      </c>
      <c r="G25" s="140" t="s">
        <v>119</v>
      </c>
      <c r="H25" s="141" t="s">
        <v>118</v>
      </c>
      <c r="I25" s="140" t="s">
        <v>119</v>
      </c>
      <c r="J25" s="141" t="s">
        <v>118</v>
      </c>
      <c r="K25" s="140" t="s">
        <v>119</v>
      </c>
    </row>
    <row r="26" spans="2:11" ht="37.5" hidden="1"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hidden="1"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hidden="1"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3.3600000000000003</v>
      </c>
      <c r="E35" s="121"/>
      <c r="F35" s="120">
        <f>IF(TASK_TYPE="Management Work Task",F32,F19)</f>
        <v>3.1799999999999997</v>
      </c>
      <c r="G35" s="119"/>
      <c r="H35" s="120">
        <f>IF(TASK_TYPE="Management Work Task",H32,H19)</f>
        <v>3.1799999999999997</v>
      </c>
      <c r="I35" s="121"/>
      <c r="J35" s="120">
        <f>IF(TASK_TYPE="Management Work Task",J32,J19)</f>
        <v>3.1799999999999997</v>
      </c>
      <c r="K35" s="121"/>
    </row>
  </sheetData>
  <mergeCells count="3">
    <mergeCell ref="E7:G7"/>
    <mergeCell ref="E8:G8"/>
    <mergeCell ref="C3:E3"/>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B2:K35"/>
  <sheetViews>
    <sheetView topLeftCell="A20" zoomScale="85" zoomScaleNormal="85" workbookViewId="0">
      <selection activeCell="F17" sqref="F1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189</v>
      </c>
      <c r="D3" s="390"/>
      <c r="E3" s="391"/>
    </row>
    <row r="4" spans="2:11" ht="16.5" thickBot="1" x14ac:dyDescent="0.25">
      <c r="B4" s="100" t="s">
        <v>35</v>
      </c>
    </row>
    <row r="5" spans="2:11" ht="48.75" customHeight="1" thickBot="1" x14ac:dyDescent="0.25">
      <c r="B5" s="143" t="s">
        <v>332</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hidden="1" customHeight="1" thickBot="1" x14ac:dyDescent="0.25">
      <c r="B9" s="100" t="s">
        <v>132</v>
      </c>
    </row>
    <row r="10" spans="2:11" ht="17.25" hidden="1" customHeight="1" thickBot="1" x14ac:dyDescent="0.25">
      <c r="B10" s="122"/>
      <c r="C10" s="133"/>
      <c r="D10" s="110" t="s">
        <v>126</v>
      </c>
      <c r="E10" s="111"/>
      <c r="F10" s="112" t="s">
        <v>127</v>
      </c>
      <c r="G10" s="111"/>
      <c r="H10" s="111"/>
      <c r="I10" s="111"/>
      <c r="J10" s="111"/>
      <c r="K10" s="113"/>
    </row>
    <row r="11" spans="2:11" ht="16.5" hidden="1" customHeight="1" thickBot="1" x14ac:dyDescent="0.25">
      <c r="B11" s="124" t="s">
        <v>120</v>
      </c>
      <c r="C11" s="131" t="s">
        <v>77</v>
      </c>
      <c r="D11" s="135"/>
      <c r="E11" s="134"/>
      <c r="F11" s="114" t="s">
        <v>0</v>
      </c>
      <c r="G11" s="115"/>
      <c r="H11" s="114" t="s">
        <v>1</v>
      </c>
      <c r="I11" s="115"/>
      <c r="J11" s="116" t="s">
        <v>9</v>
      </c>
      <c r="K11" s="115"/>
    </row>
    <row r="12" spans="2:11" ht="16.5" hidden="1" customHeight="1" thickBot="1" x14ac:dyDescent="0.25">
      <c r="B12" s="123"/>
      <c r="C12" s="132"/>
      <c r="D12" s="138" t="s">
        <v>118</v>
      </c>
      <c r="E12" s="139" t="s">
        <v>119</v>
      </c>
      <c r="F12" s="141" t="s">
        <v>118</v>
      </c>
      <c r="G12" s="140" t="s">
        <v>119</v>
      </c>
      <c r="H12" s="141" t="s">
        <v>118</v>
      </c>
      <c r="I12" s="140" t="s">
        <v>119</v>
      </c>
      <c r="J12" s="141" t="s">
        <v>118</v>
      </c>
      <c r="K12" s="140" t="s">
        <v>119</v>
      </c>
    </row>
    <row r="13" spans="2:11" ht="30" hidden="1" customHeight="1" x14ac:dyDescent="0.2">
      <c r="B13" s="125" t="s">
        <v>36</v>
      </c>
      <c r="C13" s="126">
        <v>0.18</v>
      </c>
      <c r="D13" s="127">
        <v>3</v>
      </c>
      <c r="E13" s="154" t="str">
        <f>IF(D13&lt;&gt;"",VLOOKUP(D13,'Criteria &amp; Rating'!$C$42:$D$46,2,FALSE),"")</f>
        <v>Produces acceptable work.</v>
      </c>
      <c r="F13" s="127">
        <v>2</v>
      </c>
      <c r="G13" s="154" t="str">
        <f>IF(F13&lt;&gt;"",VLOOKUP(F13,'Criteria &amp; Rating'!$C$42:$D$46,2,FALSE),"")</f>
        <v>Produces marginally acceptable work; makes more than an average number of errors.</v>
      </c>
      <c r="H13" s="127">
        <v>2</v>
      </c>
      <c r="I13" s="154" t="str">
        <f>IF(H13&lt;&gt;"",VLOOKUP(H13,'Criteria &amp; Rating'!$C$42:$D$46,2,FALSE),"")</f>
        <v>Produces marginally acceptable work; makes more than an average number of errors.</v>
      </c>
      <c r="J13" s="127">
        <v>2</v>
      </c>
      <c r="K13" s="154" t="str">
        <f>IF(J13&lt;&gt;"",VLOOKUP(J13,'Criteria &amp; Rating'!$C$42:$D$46,2,FALSE),"")</f>
        <v>Produces marginally acceptable work; makes more than an average number of errors.</v>
      </c>
    </row>
    <row r="14" spans="2:11" ht="39.75" hidden="1"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hidden="1" customHeight="1" x14ac:dyDescent="0.2">
      <c r="B15" s="128" t="s">
        <v>37</v>
      </c>
      <c r="C15" s="129">
        <v>0.18</v>
      </c>
      <c r="D15" s="130">
        <v>3</v>
      </c>
      <c r="E15" s="155" t="str">
        <f>IF(D15&lt;&gt;"",VLOOKUP('Task #A2'!D15,'Criteria &amp; Rating'!$C$58:$D$62,2,FALSE),"")</f>
        <v>Requires normal direction/supervision on routine assignments; requires assistance with non-routine assignments.</v>
      </c>
      <c r="F15" s="130">
        <v>2</v>
      </c>
      <c r="G15" s="155" t="str">
        <f>IF(F15&lt;&gt;"",VLOOKUP('Task #A2'!F15,'Criteria &amp; Rating'!$C$58:$D$62,2,FALSE),"")</f>
        <v>Requires more than normal direction and supervision to complete assignments.</v>
      </c>
      <c r="H15" s="130">
        <v>2</v>
      </c>
      <c r="I15" s="155" t="str">
        <f>IF(H15&lt;&gt;"",VLOOKUP('Task #A2'!H15,'Criteria &amp; Rating'!$C$58:$D$62,2,FALSE),"")</f>
        <v>Requires more than normal direction and supervision to complete assignments.</v>
      </c>
      <c r="J15" s="130">
        <v>2</v>
      </c>
      <c r="K15" s="155" t="str">
        <f>IF(J15&lt;&gt;"",VLOOKUP('Task #A2'!J15,'Criteria &amp; Rating'!$C$58:$D$62,2,FALSE),"")</f>
        <v>Requires more than normal direction and supervision to complete assignments.</v>
      </c>
    </row>
    <row r="16" spans="2:11" ht="30" hidden="1"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2</v>
      </c>
      <c r="I16" s="155" t="str">
        <f>IF(H16&lt;&gt;"",VLOOKUP(H16,'Criteria &amp; Rating'!$C$66:$D$70,2,FALSE),"")</f>
        <v>Has difficulty recognizing and solving routine problems; analytical skills need improvement.</v>
      </c>
      <c r="J16" s="130">
        <v>2</v>
      </c>
      <c r="K16" s="155" t="str">
        <f>IF(J16&lt;&gt;"",VLOOKUP(J16,'Criteria &amp; Rating'!$C$66:$D$70,2,FALSE),"")</f>
        <v>Has difficulty recognizing and solving routine problems; analytical skills need improvement.</v>
      </c>
    </row>
    <row r="17" spans="2:11" ht="30" hidden="1" customHeight="1" x14ac:dyDescent="0.2">
      <c r="B17" s="128" t="s">
        <v>39</v>
      </c>
      <c r="C17" s="129">
        <v>0.18</v>
      </c>
      <c r="D17" s="130">
        <v>3</v>
      </c>
      <c r="E17" s="155" t="str">
        <f>IF(D17,VLOOKUP('Task #A2'!D17,'Criteria &amp; Rating'!$C$74:$D$78,2,FALSE),"")</f>
        <v>Has knowledge and skills to handle job duties.</v>
      </c>
      <c r="F17" s="130">
        <v>2</v>
      </c>
      <c r="G17" s="155" t="str">
        <f>IF(F17,VLOOKUP('Task #A2'!F17,'Criteria &amp; Rating'!$C$74:$D$78,2,FALSE),"")</f>
        <v>Occasionally lacks knowledge or skills to handle certain job duties.</v>
      </c>
      <c r="H17" s="130">
        <v>2</v>
      </c>
      <c r="I17" s="155" t="str">
        <f>IF(H17,VLOOKUP('Task #A2'!H17,'Criteria &amp; Rating'!$C$74:$D$78,2,FALSE),"")</f>
        <v>Occasionally lacks knowledge or skills to handle certain job duties.</v>
      </c>
      <c r="J17" s="130">
        <v>2</v>
      </c>
      <c r="K17" s="155" t="str">
        <f>IF(J17,VLOOKUP('Task #A2'!J17,'Criteria &amp; Rating'!$C$74:$D$78,2,FALSE),"")</f>
        <v>Occasionally lacks knowledge or skills to handle certain job duties.</v>
      </c>
    </row>
    <row r="18" spans="2:11" ht="39.75" hidden="1" customHeight="1" thickBot="1" x14ac:dyDescent="0.25">
      <c r="B18" s="109" t="s">
        <v>38</v>
      </c>
      <c r="C18" s="108">
        <v>0.1</v>
      </c>
      <c r="D18" s="117">
        <v>3</v>
      </c>
      <c r="E18" s="156" t="str">
        <f>IF(D18&lt;&gt;"",VLOOKUP('Task #A2'!D18,'Criteria &amp; Rating'!$C$82:$D$86,2,FALSE),"")</f>
        <v>Meets basic job requirements for independent action and resourcefulness; acceptable worker.</v>
      </c>
      <c r="F18" s="117">
        <v>3</v>
      </c>
      <c r="G18" s="156" t="str">
        <f>IF(F18&lt;&gt;"",VLOOKUP('Task #A2'!F18,'Criteria &amp; Rating'!$C$82:$D$86,2,FALSE),"")</f>
        <v>Meets basic job requirements for independent action and resourcefulness; acceptable worker.</v>
      </c>
      <c r="H18" s="117">
        <v>3</v>
      </c>
      <c r="I18" s="156" t="str">
        <f>IF(H18&lt;&gt;"",VLOOKUP('Task #A2'!H18,'Criteria &amp; Rating'!$C$82:$D$86,2,FALSE),"")</f>
        <v>Meets basic job requirements for independent action and resourcefulness; acceptable worker.</v>
      </c>
      <c r="J18" s="117">
        <v>3</v>
      </c>
      <c r="K18" s="156" t="str">
        <f>IF(J18&lt;&gt;"",VLOOKUP('Task #A2'!J18,'Criteria &amp; Rating'!$C$82:$D$86,2,FALSE),"")</f>
        <v>Meets basic job requirements for independent action and resourcefulness; acceptable worker.</v>
      </c>
    </row>
    <row r="19" spans="2:11" ht="18.75" hidden="1" customHeight="1" thickBot="1" x14ac:dyDescent="0.25">
      <c r="B19" s="118" t="s">
        <v>117</v>
      </c>
      <c r="C19" s="119"/>
      <c r="D19" s="120">
        <f>SUMPRODUCT(D13:D18,$C$13:$C$18)</f>
        <v>3.3600000000000003</v>
      </c>
      <c r="E19" s="121"/>
      <c r="F19" s="120">
        <f>SUMPRODUCT(F13:F18,$C$13:$C$18)</f>
        <v>2.46</v>
      </c>
      <c r="G19" s="119"/>
      <c r="H19" s="120">
        <f>SUMPRODUCT(H13:H18,$C$13:$C$18)</f>
        <v>2.2800000000000002</v>
      </c>
      <c r="I19" s="121"/>
      <c r="J19" s="120">
        <f>SUMPRODUCT(J13:J18,$C$13:$C$18)</f>
        <v>2.2800000000000002</v>
      </c>
      <c r="K19" s="121"/>
    </row>
    <row r="21" spans="2:11" ht="3" customHeight="1" x14ac:dyDescent="0.2"/>
    <row r="22" spans="2:11" ht="16.5" thickBot="1" x14ac:dyDescent="0.25">
      <c r="B22" s="100" t="s">
        <v>133</v>
      </c>
    </row>
    <row r="23" spans="2:11" ht="13.5" thickBot="1" x14ac:dyDescent="0.25">
      <c r="B23" s="122"/>
      <c r="C23" s="133"/>
      <c r="D23" s="110" t="s">
        <v>126</v>
      </c>
      <c r="E23" s="111"/>
      <c r="F23" s="112" t="s">
        <v>127</v>
      </c>
      <c r="G23" s="111"/>
      <c r="H23" s="111"/>
      <c r="I23" s="111"/>
      <c r="J23" s="111"/>
      <c r="K23" s="113"/>
    </row>
    <row r="24" spans="2:11" ht="13.5" thickBot="1" x14ac:dyDescent="0.25">
      <c r="B24" s="124" t="s">
        <v>120</v>
      </c>
      <c r="C24" s="131" t="s">
        <v>77</v>
      </c>
      <c r="D24" s="135"/>
      <c r="E24" s="134"/>
      <c r="F24" s="114" t="s">
        <v>0</v>
      </c>
      <c r="G24" s="115"/>
      <c r="H24" s="114" t="s">
        <v>1</v>
      </c>
      <c r="I24" s="115"/>
      <c r="J24" s="116" t="s">
        <v>9</v>
      </c>
      <c r="K24" s="115"/>
    </row>
    <row r="25" spans="2:11" ht="13.5" thickBot="1" x14ac:dyDescent="0.25">
      <c r="B25" s="123"/>
      <c r="C25" s="132"/>
      <c r="D25" s="138" t="s">
        <v>118</v>
      </c>
      <c r="E25" s="139" t="s">
        <v>119</v>
      </c>
      <c r="F25" s="141" t="s">
        <v>118</v>
      </c>
      <c r="G25" s="140" t="s">
        <v>119</v>
      </c>
      <c r="H25" s="141" t="s">
        <v>118</v>
      </c>
      <c r="I25" s="140" t="s">
        <v>119</v>
      </c>
      <c r="J25" s="141" t="s">
        <v>118</v>
      </c>
      <c r="K25" s="140" t="s">
        <v>119</v>
      </c>
    </row>
    <row r="26" spans="2:11" ht="37.5"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v>
      </c>
      <c r="E35" s="121"/>
      <c r="F35" s="120">
        <f>IF(TASK_TYPE="Management Work Task",F32,F19)</f>
        <v>2.8999999999999995</v>
      </c>
      <c r="G35" s="119"/>
      <c r="H35" s="120">
        <f>IF(TASK_TYPE="Management Work Task",H32,H19)</f>
        <v>3.3</v>
      </c>
      <c r="I35" s="121"/>
      <c r="J35" s="120">
        <f>IF(TASK_TYPE="Management Work Task",J32,J19)</f>
        <v>3.05</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B2:K35"/>
  <sheetViews>
    <sheetView topLeftCell="A7" zoomScale="85" zoomScaleNormal="85" workbookViewId="0">
      <selection activeCell="G51" sqref="G51"/>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208</v>
      </c>
      <c r="D3" s="390"/>
      <c r="E3" s="391"/>
    </row>
    <row r="4" spans="2:11" ht="16.5" thickBot="1" x14ac:dyDescent="0.25">
      <c r="B4" s="100" t="s">
        <v>35</v>
      </c>
    </row>
    <row r="5" spans="2:11" ht="48.75" customHeight="1" thickBot="1" x14ac:dyDescent="0.25">
      <c r="B5" s="143" t="s">
        <v>333</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customHeight="1" thickBot="1" x14ac:dyDescent="0.25">
      <c r="B9" s="100" t="s">
        <v>132</v>
      </c>
    </row>
    <row r="10" spans="2:11" ht="17.25" customHeight="1" thickBot="1" x14ac:dyDescent="0.25">
      <c r="B10" s="122"/>
      <c r="C10" s="133"/>
      <c r="D10" s="110" t="s">
        <v>126</v>
      </c>
      <c r="E10" s="111"/>
      <c r="F10" s="112" t="s">
        <v>127</v>
      </c>
      <c r="G10" s="111"/>
      <c r="H10" s="111"/>
      <c r="I10" s="111"/>
      <c r="J10" s="111"/>
      <c r="K10" s="113"/>
    </row>
    <row r="11" spans="2:11" ht="16.5" customHeight="1" thickBot="1" x14ac:dyDescent="0.25">
      <c r="B11" s="124" t="s">
        <v>120</v>
      </c>
      <c r="C11" s="131" t="s">
        <v>77</v>
      </c>
      <c r="D11" s="135"/>
      <c r="E11" s="134"/>
      <c r="F11" s="114" t="s">
        <v>0</v>
      </c>
      <c r="G11" s="115"/>
      <c r="H11" s="114" t="s">
        <v>1</v>
      </c>
      <c r="I11" s="115"/>
      <c r="J11" s="116" t="s">
        <v>9</v>
      </c>
      <c r="K11" s="115"/>
    </row>
    <row r="12" spans="2:11" ht="16.5" customHeight="1" thickBot="1" x14ac:dyDescent="0.25">
      <c r="B12" s="123"/>
      <c r="C12" s="132"/>
      <c r="D12" s="138" t="s">
        <v>118</v>
      </c>
      <c r="E12" s="139" t="s">
        <v>119</v>
      </c>
      <c r="F12" s="141" t="s">
        <v>118</v>
      </c>
      <c r="G12" s="140" t="s">
        <v>119</v>
      </c>
      <c r="H12" s="141" t="s">
        <v>118</v>
      </c>
      <c r="I12" s="140" t="s">
        <v>119</v>
      </c>
      <c r="J12" s="141" t="s">
        <v>118</v>
      </c>
      <c r="K12" s="140" t="s">
        <v>119</v>
      </c>
    </row>
    <row r="13" spans="2:11" ht="30" customHeight="1" x14ac:dyDescent="0.2">
      <c r="B13" s="125" t="s">
        <v>36</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37</v>
      </c>
      <c r="C15" s="129">
        <v>0.18</v>
      </c>
      <c r="D15" s="130">
        <v>3</v>
      </c>
      <c r="E15" s="155" t="str">
        <f>IF(D15&lt;&gt;"",VLOOKUP('Task #A3'!D15,'Criteria &amp; Rating'!$C$58:$D$62,2,FALSE),"")</f>
        <v>Requires normal direction/supervision on routine assignments; requires assistance with non-routine assignments.</v>
      </c>
      <c r="F15" s="130">
        <v>4</v>
      </c>
      <c r="G15" s="155" t="str">
        <f>IF(F15&lt;&gt;"",VLOOKUP('Task #A3'!F15,'Criteria &amp; Rating'!$C$58:$D$62,2,FALSE),"")</f>
        <v>Requires less than normal direction/supervision, even on non-routine assignments.</v>
      </c>
      <c r="H15" s="130">
        <v>4</v>
      </c>
      <c r="I15" s="155" t="str">
        <f>IF(H15&lt;&gt;"",VLOOKUP('Task #A3'!H15,'Criteria &amp; Rating'!$C$58:$D$62,2,FALSE),"")</f>
        <v>Requires less than normal direction/supervision, even on non-routine assignments.</v>
      </c>
      <c r="J15" s="130">
        <v>4</v>
      </c>
      <c r="K15" s="155" t="str">
        <f>IF(J15&lt;&gt;"",VLOOKUP('Task #A3'!J15,'Criteria &amp; Rating'!$C$58:$D$62,2,FALSE),"")</f>
        <v>Requires less than normal direction/supervision, even on non-routine assignments.</v>
      </c>
    </row>
    <row r="16" spans="2:11" ht="30"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v>3</v>
      </c>
      <c r="K16" s="155" t="str">
        <f>IF(J16&lt;&gt;"",VLOOKUP(J16,'Criteria &amp; Rating'!$C$66:$D$70,2,FALSE),"")</f>
        <v>Solves routine problems satisfactorily; requires assistance with complex problems.</v>
      </c>
    </row>
    <row r="17" spans="2:11" ht="30" customHeight="1" x14ac:dyDescent="0.2">
      <c r="B17" s="128" t="s">
        <v>39</v>
      </c>
      <c r="C17" s="129">
        <v>0.18</v>
      </c>
      <c r="D17" s="130">
        <v>3</v>
      </c>
      <c r="E17" s="155" t="str">
        <f>IF(D17,VLOOKUP('Task #A3'!D17,'Criteria &amp; Rating'!$C$74:$D$78,2,FALSE),"")</f>
        <v>Has knowledge and skills to handle job duties.</v>
      </c>
      <c r="F17" s="130">
        <v>2</v>
      </c>
      <c r="G17" s="155" t="str">
        <f>IF(F17,VLOOKUP('Task #A3'!F17,'Criteria &amp; Rating'!$C$74:$D$78,2,FALSE),"")</f>
        <v>Occasionally lacks knowledge or skills to handle certain job duties.</v>
      </c>
      <c r="H17" s="130">
        <v>2</v>
      </c>
      <c r="I17" s="155" t="str">
        <f>IF(H17,VLOOKUP('Task #A3'!H17,'Criteria &amp; Rating'!$C$74:$D$78,2,FALSE),"")</f>
        <v>Occasionally lacks knowledge or skills to handle certain job duties.</v>
      </c>
      <c r="J17" s="130">
        <v>2</v>
      </c>
      <c r="K17" s="155" t="str">
        <f>IF(J17,VLOOKUP('Task #A3'!J17,'Criteria &amp; Rating'!$C$74:$D$78,2,FALSE),"")</f>
        <v>Occasionally lacks knowledge or skills to handle certain job duties.</v>
      </c>
    </row>
    <row r="18" spans="2:11" ht="39.75" customHeight="1" thickBot="1" x14ac:dyDescent="0.25">
      <c r="B18" s="109" t="s">
        <v>38</v>
      </c>
      <c r="C18" s="108">
        <v>0.1</v>
      </c>
      <c r="D18" s="117">
        <v>3</v>
      </c>
      <c r="E18" s="156" t="str">
        <f>IF(D18&lt;&gt;"",VLOOKUP('Task #A3'!D18,'Criteria &amp; Rating'!$C$82:$D$86,2,FALSE),"")</f>
        <v>Meets basic job requirements for independent action and resourcefulness; acceptable worker.</v>
      </c>
      <c r="F18" s="117">
        <v>2</v>
      </c>
      <c r="G18" s="156" t="str">
        <f>IF(F18&lt;&gt;"",VLOOKUP('Task #A3'!F18,'Criteria &amp; Rating'!$C$82:$D$86,2,FALSE),"")</f>
        <v>Sometimes lacks independent action and resourcefulness required by job; marginal worker.</v>
      </c>
      <c r="H18" s="117">
        <v>4</v>
      </c>
      <c r="I18" s="156" t="str">
        <f>IF(H18&lt;&gt;"",VLOOKUP('Task #A3'!H18,'Criteria &amp; Rating'!$C$82:$D$86,2,FALSE),"")</f>
        <v>Exceeds requirements for independent action and resourcefulness; diligent worker.</v>
      </c>
      <c r="J18" s="117">
        <v>3</v>
      </c>
      <c r="K18" s="156" t="str">
        <f>IF(J18&lt;&gt;"",VLOOKUP('Task #A3'!J18,'Criteria &amp; Rating'!$C$82:$D$86,2,FALSE),"")</f>
        <v>Meets basic job requirements for independent action and resourcefulness; acceptable worker.</v>
      </c>
    </row>
    <row r="19" spans="2:11" ht="18.75" customHeight="1" thickBot="1" x14ac:dyDescent="0.25">
      <c r="B19" s="118" t="s">
        <v>117</v>
      </c>
      <c r="C19" s="119"/>
      <c r="D19" s="120">
        <f>SUMPRODUCT(D13:D18,$C$13:$C$18)</f>
        <v>3.3600000000000003</v>
      </c>
      <c r="E19" s="121"/>
      <c r="F19" s="120">
        <f>SUMPRODUCT(F13:F18,$C$13:$C$18)</f>
        <v>3.08</v>
      </c>
      <c r="G19" s="119"/>
      <c r="H19" s="120">
        <f>SUMPRODUCT(H13:H18,$C$13:$C$18)</f>
        <v>3.28</v>
      </c>
      <c r="I19" s="121"/>
      <c r="J19" s="120">
        <f>SUMPRODUCT(J13:J18,$C$13:$C$18)</f>
        <v>3.1799999999999997</v>
      </c>
      <c r="K19" s="121"/>
    </row>
    <row r="21" spans="2:11" ht="3" customHeight="1" x14ac:dyDescent="0.2"/>
    <row r="22" spans="2:11" ht="16.5" hidden="1" thickBot="1" x14ac:dyDescent="0.25">
      <c r="B22" s="100" t="s">
        <v>133</v>
      </c>
    </row>
    <row r="23" spans="2:11" ht="13.5" hidden="1" thickBot="1" x14ac:dyDescent="0.25">
      <c r="B23" s="122"/>
      <c r="C23" s="133"/>
      <c r="D23" s="110" t="s">
        <v>126</v>
      </c>
      <c r="E23" s="111"/>
      <c r="F23" s="112" t="s">
        <v>127</v>
      </c>
      <c r="G23" s="111"/>
      <c r="H23" s="111"/>
      <c r="I23" s="111"/>
      <c r="J23" s="111"/>
      <c r="K23" s="113"/>
    </row>
    <row r="24" spans="2:11" ht="13.5" hidden="1" thickBot="1" x14ac:dyDescent="0.25">
      <c r="B24" s="124" t="s">
        <v>120</v>
      </c>
      <c r="C24" s="131" t="s">
        <v>77</v>
      </c>
      <c r="D24" s="135"/>
      <c r="E24" s="134"/>
      <c r="F24" s="114" t="s">
        <v>0</v>
      </c>
      <c r="G24" s="115"/>
      <c r="H24" s="114" t="s">
        <v>1</v>
      </c>
      <c r="I24" s="115"/>
      <c r="J24" s="116" t="s">
        <v>9</v>
      </c>
      <c r="K24" s="115"/>
    </row>
    <row r="25" spans="2:11" ht="13.5" hidden="1" thickBot="1" x14ac:dyDescent="0.25">
      <c r="B25" s="123"/>
      <c r="C25" s="132"/>
      <c r="D25" s="138" t="s">
        <v>118</v>
      </c>
      <c r="E25" s="139" t="s">
        <v>119</v>
      </c>
      <c r="F25" s="141" t="s">
        <v>118</v>
      </c>
      <c r="G25" s="140" t="s">
        <v>119</v>
      </c>
      <c r="H25" s="141" t="s">
        <v>118</v>
      </c>
      <c r="I25" s="140" t="s">
        <v>119</v>
      </c>
      <c r="J25" s="141" t="s">
        <v>118</v>
      </c>
      <c r="K25" s="140" t="s">
        <v>119</v>
      </c>
    </row>
    <row r="26" spans="2:11" ht="37.5" hidden="1"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hidden="1"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hidden="1"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3.3600000000000003</v>
      </c>
      <c r="E35" s="121"/>
      <c r="F35" s="120">
        <f>IF(TASK_TYPE="Management Work Task",F32,F19)</f>
        <v>3.08</v>
      </c>
      <c r="G35" s="119"/>
      <c r="H35" s="120">
        <f>IF(TASK_TYPE="Management Work Task",H32,H19)</f>
        <v>3.28</v>
      </c>
      <c r="I35" s="121"/>
      <c r="J35" s="120">
        <f>IF(TASK_TYPE="Management Work Task",J32,J19)</f>
        <v>3.1799999999999997</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B2:K35"/>
  <sheetViews>
    <sheetView zoomScale="85" zoomScaleNormal="85" workbookViewId="0">
      <selection activeCell="F17" sqref="F1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131</v>
      </c>
      <c r="D3" s="390"/>
      <c r="E3" s="391"/>
    </row>
    <row r="4" spans="2:11" ht="16.5" thickBot="1" x14ac:dyDescent="0.25">
      <c r="B4" s="100" t="s">
        <v>35</v>
      </c>
    </row>
    <row r="5" spans="2:11" ht="48.75" customHeight="1" thickBot="1" x14ac:dyDescent="0.25">
      <c r="B5" s="143" t="s">
        <v>334</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customHeight="1" thickBot="1" x14ac:dyDescent="0.25">
      <c r="B9" s="100" t="s">
        <v>132</v>
      </c>
    </row>
    <row r="10" spans="2:11" ht="17.25" customHeight="1" thickBot="1" x14ac:dyDescent="0.25">
      <c r="B10" s="122"/>
      <c r="C10" s="133"/>
      <c r="D10" s="110" t="s">
        <v>126</v>
      </c>
      <c r="E10" s="111"/>
      <c r="F10" s="112" t="s">
        <v>127</v>
      </c>
      <c r="G10" s="111"/>
      <c r="H10" s="111"/>
      <c r="I10" s="111"/>
      <c r="J10" s="111"/>
      <c r="K10" s="113"/>
    </row>
    <row r="11" spans="2:11" ht="16.5" customHeight="1" thickBot="1" x14ac:dyDescent="0.25">
      <c r="B11" s="124" t="s">
        <v>120</v>
      </c>
      <c r="C11" s="131" t="s">
        <v>77</v>
      </c>
      <c r="D11" s="135"/>
      <c r="E11" s="134"/>
      <c r="F11" s="114" t="s">
        <v>0</v>
      </c>
      <c r="G11" s="115"/>
      <c r="H11" s="114" t="s">
        <v>1</v>
      </c>
      <c r="I11" s="115"/>
      <c r="J11" s="116" t="s">
        <v>9</v>
      </c>
      <c r="K11" s="115"/>
    </row>
    <row r="12" spans="2:11" ht="16.5" customHeight="1" thickBot="1" x14ac:dyDescent="0.25">
      <c r="B12" s="123"/>
      <c r="C12" s="132"/>
      <c r="D12" s="138" t="s">
        <v>118</v>
      </c>
      <c r="E12" s="139" t="s">
        <v>119</v>
      </c>
      <c r="F12" s="141" t="s">
        <v>118</v>
      </c>
      <c r="G12" s="140" t="s">
        <v>119</v>
      </c>
      <c r="H12" s="141" t="s">
        <v>118</v>
      </c>
      <c r="I12" s="140" t="s">
        <v>119</v>
      </c>
      <c r="J12" s="141" t="s">
        <v>118</v>
      </c>
      <c r="K12" s="140" t="s">
        <v>119</v>
      </c>
    </row>
    <row r="13" spans="2:11" ht="30" customHeight="1" x14ac:dyDescent="0.2">
      <c r="B13" s="125" t="s">
        <v>36</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79</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37</v>
      </c>
      <c r="C15" s="129">
        <v>0.18</v>
      </c>
      <c r="D15" s="130">
        <v>3</v>
      </c>
      <c r="E15" s="155" t="str">
        <f>IF(D15&lt;&gt;"",VLOOKUP('Task #A4'!D15,'Criteria &amp; Rating'!$C$58:$D$62,2,FALSE),"")</f>
        <v>Requires normal direction/supervision on routine assignments; requires assistance with non-routine assignments.</v>
      </c>
      <c r="F15" s="130">
        <v>4</v>
      </c>
      <c r="G15" s="155" t="str">
        <f>IF(F15&lt;&gt;"",VLOOKUP('Task #A4'!F15,'Criteria &amp; Rating'!$C$58:$D$62,2,FALSE),"")</f>
        <v>Requires less than normal direction/supervision, even on non-routine assignments.</v>
      </c>
      <c r="H15" s="130">
        <v>4</v>
      </c>
      <c r="I15" s="155" t="str">
        <f>IF(H15&lt;&gt;"",VLOOKUP('Task #A4'!H15,'Criteria &amp; Rating'!$C$58:$D$62,2,FALSE),"")</f>
        <v>Requires less than normal direction/supervision, even on non-routine assignments.</v>
      </c>
      <c r="J15" s="130">
        <v>4</v>
      </c>
      <c r="K15" s="155" t="str">
        <f>IF(J15&lt;&gt;"",VLOOKUP('Task #A4'!J15,'Criteria &amp; Rating'!$C$58:$D$62,2,FALSE),"")</f>
        <v>Requires less than normal direction/supervision, even on non-routine assignments.</v>
      </c>
    </row>
    <row r="16" spans="2:11" ht="30"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4</v>
      </c>
      <c r="I16" s="155" t="str">
        <f>IF(H16&lt;&gt;"",VLOOKUP(H16,'Criteria &amp; Rating'!$C$66:$D$70,2,FALSE),"")</f>
        <v>Demonstrates good problem-solving skills; occasionally able to handle complex problems.</v>
      </c>
      <c r="J16" s="130">
        <v>2</v>
      </c>
      <c r="K16" s="155" t="str">
        <f>IF(J16&lt;&gt;"",VLOOKUP(J16,'Criteria &amp; Rating'!$C$66:$D$70,2,FALSE),"")</f>
        <v>Has difficulty recognizing and solving routine problems; analytical skills need improvement.</v>
      </c>
    </row>
    <row r="17" spans="2:11" ht="30" customHeight="1" x14ac:dyDescent="0.2">
      <c r="B17" s="128" t="s">
        <v>39</v>
      </c>
      <c r="C17" s="129">
        <v>0.18</v>
      </c>
      <c r="D17" s="130">
        <v>3</v>
      </c>
      <c r="E17" s="155" t="str">
        <f>IF(D17,VLOOKUP('Task #A4'!D17,'Criteria &amp; Rating'!$C$74:$D$78,2,FALSE),"")</f>
        <v>Has knowledge and skills to handle job duties.</v>
      </c>
      <c r="F17" s="130">
        <v>3</v>
      </c>
      <c r="G17" s="155" t="str">
        <f>IF(F17,VLOOKUP('Task #A4'!F17,'Criteria &amp; Rating'!$C$74:$D$78,2,FALSE),"")</f>
        <v>Has knowledge and skills to handle job duties.</v>
      </c>
      <c r="H17" s="130">
        <v>2</v>
      </c>
      <c r="I17" s="155" t="str">
        <f>IF(H17,VLOOKUP('Task #A4'!H17,'Criteria &amp; Rating'!$C$74:$D$78,2,FALSE),"")</f>
        <v>Occasionally lacks knowledge or skills to handle certain job duties.</v>
      </c>
      <c r="J17" s="130">
        <v>2</v>
      </c>
      <c r="K17" s="155" t="str">
        <f>IF(J17,VLOOKUP('Task #A4'!J17,'Criteria &amp; Rating'!$C$74:$D$78,2,FALSE),"")</f>
        <v>Occasionally lacks knowledge or skills to handle certain job duties.</v>
      </c>
    </row>
    <row r="18" spans="2:11" ht="39.75" customHeight="1" thickBot="1" x14ac:dyDescent="0.25">
      <c r="B18" s="109" t="s">
        <v>38</v>
      </c>
      <c r="C18" s="108">
        <v>0.1</v>
      </c>
      <c r="D18" s="117">
        <v>3</v>
      </c>
      <c r="E18" s="156" t="str">
        <f>IF(D18&lt;&gt;"",VLOOKUP('Task #A4'!D18,'Criteria &amp; Rating'!$C$82:$D$86,2,FALSE),"")</f>
        <v>Meets basic job requirements for independent action and resourcefulness; acceptable worker.</v>
      </c>
      <c r="F18" s="117">
        <v>3</v>
      </c>
      <c r="G18" s="156" t="str">
        <f>IF(F18&lt;&gt;"",VLOOKUP('Task #A4'!F18,'Criteria &amp; Rating'!$C$82:$D$86,2,FALSE),"")</f>
        <v>Meets basic job requirements for independent action and resourcefulness; acceptable worker.</v>
      </c>
      <c r="H18" s="117">
        <v>3</v>
      </c>
      <c r="I18" s="156" t="str">
        <f>IF(H18&lt;&gt;"",VLOOKUP('Task #A4'!H18,'Criteria &amp; Rating'!$C$82:$D$86,2,FALSE),"")</f>
        <v>Meets basic job requirements for independent action and resourcefulness; acceptable worker.</v>
      </c>
      <c r="J18" s="117">
        <v>3</v>
      </c>
      <c r="K18" s="156" t="str">
        <f>IF(J18&lt;&gt;"",VLOOKUP('Task #A4'!J18,'Criteria &amp; Rating'!$C$82:$D$86,2,FALSE),"")</f>
        <v>Meets basic job requirements for independent action and resourcefulness; acceptable worker.</v>
      </c>
    </row>
    <row r="19" spans="2:11" ht="18.75" customHeight="1" thickBot="1" x14ac:dyDescent="0.25">
      <c r="B19" s="118" t="s">
        <v>117</v>
      </c>
      <c r="C19" s="119"/>
      <c r="D19" s="120">
        <f>SUMPRODUCT(D13:D18,$C$13:$C$18)</f>
        <v>3.3600000000000003</v>
      </c>
      <c r="E19" s="121"/>
      <c r="F19" s="120">
        <f>SUMPRODUCT(F13:F18,$C$13:$C$18)</f>
        <v>3.3600000000000003</v>
      </c>
      <c r="G19" s="119"/>
      <c r="H19" s="120">
        <f>SUMPRODUCT(H13:H18,$C$13:$C$18)</f>
        <v>3.3600000000000003</v>
      </c>
      <c r="I19" s="121"/>
      <c r="J19" s="120">
        <f>SUMPRODUCT(J13:J18,$C$13:$C$18)</f>
        <v>3</v>
      </c>
      <c r="K19" s="121"/>
    </row>
    <row r="21" spans="2:11" ht="3" customHeight="1" x14ac:dyDescent="0.2"/>
    <row r="22" spans="2:11" ht="15.75" hidden="1" x14ac:dyDescent="0.2">
      <c r="B22" s="100" t="s">
        <v>133</v>
      </c>
    </row>
    <row r="23" spans="2:11" ht="13.5" hidden="1" thickBot="1" x14ac:dyDescent="0.25">
      <c r="B23" s="122"/>
      <c r="C23" s="133"/>
      <c r="D23" s="110" t="s">
        <v>126</v>
      </c>
      <c r="E23" s="111"/>
      <c r="F23" s="112" t="s">
        <v>127</v>
      </c>
      <c r="G23" s="111"/>
      <c r="H23" s="111"/>
      <c r="I23" s="111"/>
      <c r="J23" s="111"/>
      <c r="K23" s="113"/>
    </row>
    <row r="24" spans="2:11" ht="13.5" hidden="1" thickBot="1" x14ac:dyDescent="0.25">
      <c r="B24" s="124" t="s">
        <v>120</v>
      </c>
      <c r="C24" s="131" t="s">
        <v>77</v>
      </c>
      <c r="D24" s="135"/>
      <c r="E24" s="134"/>
      <c r="F24" s="114" t="s">
        <v>0</v>
      </c>
      <c r="G24" s="115"/>
      <c r="H24" s="114" t="s">
        <v>1</v>
      </c>
      <c r="I24" s="115"/>
      <c r="J24" s="116" t="s">
        <v>9</v>
      </c>
      <c r="K24" s="115"/>
    </row>
    <row r="25" spans="2:11" ht="13.5" hidden="1" thickBot="1" x14ac:dyDescent="0.25">
      <c r="B25" s="123"/>
      <c r="C25" s="132"/>
      <c r="D25" s="138" t="s">
        <v>118</v>
      </c>
      <c r="E25" s="139" t="s">
        <v>119</v>
      </c>
      <c r="F25" s="141" t="s">
        <v>118</v>
      </c>
      <c r="G25" s="140" t="s">
        <v>119</v>
      </c>
      <c r="H25" s="141" t="s">
        <v>118</v>
      </c>
      <c r="I25" s="140" t="s">
        <v>119</v>
      </c>
      <c r="J25" s="141" t="s">
        <v>118</v>
      </c>
      <c r="K25" s="140" t="s">
        <v>119</v>
      </c>
    </row>
    <row r="26" spans="2:11" ht="37.5" hidden="1"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hidden="1"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hidden="1"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3.3600000000000003</v>
      </c>
      <c r="E35" s="121"/>
      <c r="F35" s="120">
        <f>IF(TASK_TYPE="Management Work Task",F32,F19)</f>
        <v>3.3600000000000003</v>
      </c>
      <c r="G35" s="119"/>
      <c r="H35" s="120">
        <f>IF(TASK_TYPE="Management Work Task",H32,H19)</f>
        <v>3.3600000000000003</v>
      </c>
      <c r="I35" s="121"/>
      <c r="J35" s="120">
        <f>IF(TASK_TYPE="Management Work Task",J32,J19)</f>
        <v>3</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B2:K35"/>
  <sheetViews>
    <sheetView topLeftCell="A26" zoomScale="85" zoomScaleNormal="85" workbookViewId="0">
      <selection activeCell="F17" sqref="F17"/>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130</v>
      </c>
    </row>
    <row r="3" spans="2:11" ht="20.25" customHeight="1" thickBot="1" x14ac:dyDescent="0.25">
      <c r="B3" s="146" t="s">
        <v>129</v>
      </c>
      <c r="C3" s="389" t="s">
        <v>189</v>
      </c>
      <c r="D3" s="390"/>
      <c r="E3" s="391"/>
    </row>
    <row r="4" spans="2:11" ht="16.5" thickBot="1" x14ac:dyDescent="0.25">
      <c r="B4" s="100" t="s">
        <v>35</v>
      </c>
    </row>
    <row r="5" spans="2:11" ht="48.75" customHeight="1" thickBot="1" x14ac:dyDescent="0.25">
      <c r="B5" s="143" t="s">
        <v>335</v>
      </c>
      <c r="C5" s="144"/>
      <c r="D5" s="144"/>
      <c r="E5" s="144"/>
      <c r="F5" s="144"/>
      <c r="G5" s="145"/>
    </row>
    <row r="6" spans="2:11" ht="19.5" customHeight="1" thickBot="1" x14ac:dyDescent="0.25">
      <c r="B6" s="136"/>
      <c r="C6" s="137"/>
      <c r="D6" s="100" t="s">
        <v>116</v>
      </c>
    </row>
    <row r="7" spans="2:11" ht="19.5" customHeight="1" x14ac:dyDescent="0.2">
      <c r="D7" s="142" t="s">
        <v>118</v>
      </c>
      <c r="E7" s="392" t="s">
        <v>119</v>
      </c>
      <c r="F7" s="393"/>
      <c r="G7" s="394"/>
    </row>
    <row r="8" spans="2:11" ht="30" customHeight="1" thickBot="1" x14ac:dyDescent="0.25">
      <c r="B8" s="136"/>
      <c r="D8" s="117">
        <v>3</v>
      </c>
      <c r="E8" s="395" t="str">
        <f>IF(D8&lt;&gt;"",VLOOKUP(D8,'Criteria &amp; Rating'!$C$226:$D$230,2,FALSE),"")</f>
        <v>Performance consistently meets job requirements; expected level of performance for employees.</v>
      </c>
      <c r="F8" s="396"/>
      <c r="G8" s="397"/>
    </row>
    <row r="9" spans="2:11" ht="19.5" hidden="1" customHeight="1" thickBot="1" x14ac:dyDescent="0.25">
      <c r="B9" s="100" t="s">
        <v>132</v>
      </c>
    </row>
    <row r="10" spans="2:11" ht="17.25" hidden="1" customHeight="1" thickBot="1" x14ac:dyDescent="0.25">
      <c r="B10" s="122"/>
      <c r="C10" s="133"/>
      <c r="D10" s="110" t="s">
        <v>126</v>
      </c>
      <c r="E10" s="111"/>
      <c r="F10" s="112" t="s">
        <v>127</v>
      </c>
      <c r="G10" s="111"/>
      <c r="H10" s="111"/>
      <c r="I10" s="111"/>
      <c r="J10" s="111"/>
      <c r="K10" s="113"/>
    </row>
    <row r="11" spans="2:11" ht="16.5" hidden="1" customHeight="1" thickBot="1" x14ac:dyDescent="0.25">
      <c r="B11" s="124" t="s">
        <v>120</v>
      </c>
      <c r="C11" s="131" t="s">
        <v>77</v>
      </c>
      <c r="D11" s="135"/>
      <c r="E11" s="134"/>
      <c r="F11" s="114" t="s">
        <v>0</v>
      </c>
      <c r="G11" s="115"/>
      <c r="H11" s="114" t="s">
        <v>1</v>
      </c>
      <c r="I11" s="115"/>
      <c r="J11" s="116" t="s">
        <v>9</v>
      </c>
      <c r="K11" s="115"/>
    </row>
    <row r="12" spans="2:11" ht="16.5" hidden="1" customHeight="1" thickBot="1" x14ac:dyDescent="0.25">
      <c r="B12" s="123"/>
      <c r="C12" s="132"/>
      <c r="D12" s="138" t="s">
        <v>118</v>
      </c>
      <c r="E12" s="139" t="s">
        <v>119</v>
      </c>
      <c r="F12" s="141" t="s">
        <v>118</v>
      </c>
      <c r="G12" s="140" t="s">
        <v>119</v>
      </c>
      <c r="H12" s="141" t="s">
        <v>118</v>
      </c>
      <c r="I12" s="140" t="s">
        <v>119</v>
      </c>
      <c r="J12" s="141" t="s">
        <v>118</v>
      </c>
      <c r="K12" s="140" t="s">
        <v>119</v>
      </c>
    </row>
    <row r="13" spans="2:11" ht="30" hidden="1" customHeight="1" x14ac:dyDescent="0.2">
      <c r="B13" s="125" t="s">
        <v>36</v>
      </c>
      <c r="C13" s="126">
        <v>0.18</v>
      </c>
      <c r="D13" s="127">
        <v>1</v>
      </c>
      <c r="E13" s="154" t="str">
        <f>IF(D13&lt;&gt;"",VLOOKUP(D13,'Criteria &amp; Rating'!$C$42:$D$46,2,FALSE),"")</f>
        <v>Produces unacceptable work; makes excessive errors.</v>
      </c>
      <c r="F13" s="127">
        <v>1</v>
      </c>
      <c r="G13" s="154" t="str">
        <f>IF(F13&lt;&gt;"",VLOOKUP(F13,'Criteria &amp; Rating'!$C$42:$D$46,2,FALSE),"")</f>
        <v>Produces unacceptable work; makes excessive errors.</v>
      </c>
      <c r="H13" s="127">
        <v>1</v>
      </c>
      <c r="I13" s="154" t="str">
        <f>IF(H13&lt;&gt;"",VLOOKUP(H13,'Criteria &amp; Rating'!$C$42:$D$46,2,FALSE),"")</f>
        <v>Produces unacceptable work; makes excessive errors.</v>
      </c>
      <c r="J13" s="127">
        <v>1</v>
      </c>
      <c r="K13" s="154" t="str">
        <f>IF(J13&lt;&gt;"",VLOOKUP(J13,'Criteria &amp; Rating'!$C$42:$D$46,2,FALSE),"")</f>
        <v>Produces unacceptable work; makes excessive errors.</v>
      </c>
    </row>
    <row r="14" spans="2:11" ht="39.75" hidden="1" customHeight="1" x14ac:dyDescent="0.2">
      <c r="B14" s="128" t="s">
        <v>79</v>
      </c>
      <c r="C14" s="129">
        <v>0.18</v>
      </c>
      <c r="D14" s="130">
        <v>1</v>
      </c>
      <c r="E14" s="155" t="str">
        <f>IF(D14&lt;&gt;"",VLOOKUP(D14,'Criteria &amp; Rating'!$C$50:$D$54,2,FALSE),"")</f>
        <v>Fails to meet basic productivity requirements; misses deadlines, unsatisfactory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1</v>
      </c>
      <c r="K14" s="155" t="str">
        <f>IF(J14&lt;&gt;"",VLOOKUP(J14,'Criteria &amp; Rating'!$C$50:$D$54,2,FALSE),"")</f>
        <v>Fails to meet basic productivity requirements; misses deadlines, unsatisfactory output level.</v>
      </c>
    </row>
    <row r="15" spans="2:11" ht="42" hidden="1" customHeight="1" x14ac:dyDescent="0.2">
      <c r="B15" s="128" t="s">
        <v>37</v>
      </c>
      <c r="C15" s="129">
        <v>0.18</v>
      </c>
      <c r="D15" s="130">
        <v>1</v>
      </c>
      <c r="E15" s="155" t="str">
        <f>IF(D15&lt;&gt;"",VLOOKUP('Task #A5'!D15,'Criteria &amp; Rating'!$C$58:$D$62,2,FALSE),"")</f>
        <v>Requires constant direction and supervision to complete assignments.</v>
      </c>
      <c r="F15" s="130">
        <v>2</v>
      </c>
      <c r="G15" s="155" t="str">
        <f>IF(F15&lt;&gt;"",VLOOKUP('Task #A5'!F15,'Criteria &amp; Rating'!$C$58:$D$62,2,FALSE),"")</f>
        <v>Requires more than normal direction and supervision to complete assignments.</v>
      </c>
      <c r="H15" s="130">
        <v>4</v>
      </c>
      <c r="I15" s="155" t="str">
        <f>IF(H15&lt;&gt;"",VLOOKUP('Task #A5'!H15,'Criteria &amp; Rating'!$C$58:$D$62,2,FALSE),"")</f>
        <v>Requires less than normal direction/supervision, even on non-routine assignments.</v>
      </c>
      <c r="J15" s="130">
        <v>1</v>
      </c>
      <c r="K15" s="155" t="str">
        <f>IF(J15&lt;&gt;"",VLOOKUP('Task #A5'!J15,'Criteria &amp; Rating'!$C$58:$D$62,2,FALSE),"")</f>
        <v>Requires constant direction and supervision to complete assignments.</v>
      </c>
    </row>
    <row r="16" spans="2:11" ht="30" hidden="1" customHeight="1" x14ac:dyDescent="0.2">
      <c r="B16" s="128" t="s">
        <v>42</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1</v>
      </c>
      <c r="I16" s="155" t="str">
        <f>IF(H16&lt;&gt;"",VLOOKUP(H16,'Criteria &amp; Rating'!$C$66:$D$70,2,FALSE),"")</f>
        <v>Cannot recognize or solve problems; does not show evidence of needed analytical skills.</v>
      </c>
      <c r="J16" s="130">
        <v>3</v>
      </c>
      <c r="K16" s="155" t="str">
        <f>IF(J16&lt;&gt;"",VLOOKUP(J16,'Criteria &amp; Rating'!$C$66:$D$70,2,FALSE),"")</f>
        <v>Solves routine problems satisfactorily; requires assistance with complex problems.</v>
      </c>
    </row>
    <row r="17" spans="2:11" ht="30" hidden="1" customHeight="1" x14ac:dyDescent="0.2">
      <c r="B17" s="128" t="s">
        <v>39</v>
      </c>
      <c r="C17" s="129">
        <v>0.18</v>
      </c>
      <c r="D17" s="130">
        <v>3</v>
      </c>
      <c r="E17" s="155" t="str">
        <f>IF(D17,VLOOKUP('Task #A5'!D17,'Criteria &amp; Rating'!$C$74:$D$78,2,FALSE),"")</f>
        <v>Has knowledge and skills to handle job duties.</v>
      </c>
      <c r="F17" s="130">
        <v>2</v>
      </c>
      <c r="G17" s="155" t="str">
        <f>IF(F17,VLOOKUP('Task #A5'!F17,'Criteria &amp; Rating'!$C$74:$D$78,2,FALSE),"")</f>
        <v>Occasionally lacks knowledge or skills to handle certain job duties.</v>
      </c>
      <c r="H17" s="130">
        <v>2</v>
      </c>
      <c r="I17" s="155" t="str">
        <f>IF(H17,VLOOKUP('Task #A5'!H17,'Criteria &amp; Rating'!$C$74:$D$78,2,FALSE),"")</f>
        <v>Occasionally lacks knowledge or skills to handle certain job duties.</v>
      </c>
      <c r="J17" s="130">
        <v>2</v>
      </c>
      <c r="K17" s="155" t="str">
        <f>IF(J17,VLOOKUP('Task #A5'!J17,'Criteria &amp; Rating'!$C$74:$D$78,2,FALSE),"")</f>
        <v>Occasionally lacks knowledge or skills to handle certain job duties.</v>
      </c>
    </row>
    <row r="18" spans="2:11" ht="39.75" hidden="1" customHeight="1" thickBot="1" x14ac:dyDescent="0.25">
      <c r="B18" s="109" t="s">
        <v>38</v>
      </c>
      <c r="C18" s="108">
        <v>0.1</v>
      </c>
      <c r="D18" s="117">
        <v>3</v>
      </c>
      <c r="E18" s="156" t="str">
        <f>IF(D18&lt;&gt;"",VLOOKUP('Task #A5'!D18,'Criteria &amp; Rating'!$C$82:$D$86,2,FALSE),"")</f>
        <v>Meets basic job requirements for independent action and resourcefulness; acceptable worker.</v>
      </c>
      <c r="F18" s="117">
        <v>3</v>
      </c>
      <c r="G18" s="156" t="str">
        <f>IF(F18&lt;&gt;"",VLOOKUP('Task #A5'!F18,'Criteria &amp; Rating'!$C$82:$D$86,2,FALSE),"")</f>
        <v>Meets basic job requirements for independent action and resourcefulness; acceptable worker.</v>
      </c>
      <c r="H18" s="117">
        <v>3</v>
      </c>
      <c r="I18" s="156" t="str">
        <f>IF(H18&lt;&gt;"",VLOOKUP('Task #A5'!H18,'Criteria &amp; Rating'!$C$82:$D$86,2,FALSE),"")</f>
        <v>Meets basic job requirements for independent action and resourcefulness; acceptable worker.</v>
      </c>
      <c r="J18" s="117">
        <v>3</v>
      </c>
      <c r="K18" s="156" t="str">
        <f>IF(J18&lt;&gt;"",VLOOKUP('Task #A5'!J18,'Criteria &amp; Rating'!$C$82:$D$86,2,FALSE),"")</f>
        <v>Meets basic job requirements for independent action and resourcefulness; acceptable worker.</v>
      </c>
    </row>
    <row r="19" spans="2:11" ht="18.75" hidden="1" customHeight="1" thickBot="1" x14ac:dyDescent="0.25">
      <c r="B19" s="118" t="s">
        <v>117</v>
      </c>
      <c r="C19" s="119"/>
      <c r="D19" s="120">
        <f>SUMPRODUCT(D13:D18,$C$13:$C$18)</f>
        <v>2.1</v>
      </c>
      <c r="E19" s="121"/>
      <c r="F19" s="120">
        <f>SUMPRODUCT(F13:F18,$C$13:$C$18)</f>
        <v>2.2800000000000002</v>
      </c>
      <c r="G19" s="119"/>
      <c r="H19" s="120">
        <f>SUMPRODUCT(H13:H18,$C$13:$C$18)</f>
        <v>2.2800000000000002</v>
      </c>
      <c r="I19" s="121"/>
      <c r="J19" s="120">
        <f>SUMPRODUCT(J13:J18,$C$13:$C$18)</f>
        <v>1.74</v>
      </c>
      <c r="K19" s="121"/>
    </row>
    <row r="21" spans="2:11" ht="3" customHeight="1" x14ac:dyDescent="0.2"/>
    <row r="22" spans="2:11" ht="16.5" thickBot="1" x14ac:dyDescent="0.25">
      <c r="B22" s="100" t="s">
        <v>133</v>
      </c>
    </row>
    <row r="23" spans="2:11" ht="13.5" thickBot="1" x14ac:dyDescent="0.25">
      <c r="B23" s="122"/>
      <c r="C23" s="133"/>
      <c r="D23" s="110" t="s">
        <v>126</v>
      </c>
      <c r="E23" s="111"/>
      <c r="F23" s="112" t="s">
        <v>127</v>
      </c>
      <c r="G23" s="111"/>
      <c r="H23" s="111"/>
      <c r="I23" s="111"/>
      <c r="J23" s="111"/>
      <c r="K23" s="113"/>
    </row>
    <row r="24" spans="2:11" ht="13.5" thickBot="1" x14ac:dyDescent="0.25">
      <c r="B24" s="124" t="s">
        <v>120</v>
      </c>
      <c r="C24" s="131" t="s">
        <v>77</v>
      </c>
      <c r="D24" s="135"/>
      <c r="E24" s="134"/>
      <c r="F24" s="114" t="s">
        <v>0</v>
      </c>
      <c r="G24" s="115"/>
      <c r="H24" s="114" t="s">
        <v>1</v>
      </c>
      <c r="I24" s="115"/>
      <c r="J24" s="116" t="s">
        <v>9</v>
      </c>
      <c r="K24" s="115"/>
    </row>
    <row r="25" spans="2:11" ht="13.5" thickBot="1" x14ac:dyDescent="0.25">
      <c r="B25" s="123"/>
      <c r="C25" s="132"/>
      <c r="D25" s="138" t="s">
        <v>118</v>
      </c>
      <c r="E25" s="139" t="s">
        <v>119</v>
      </c>
      <c r="F25" s="141" t="s">
        <v>118</v>
      </c>
      <c r="G25" s="140" t="s">
        <v>119</v>
      </c>
      <c r="H25" s="141" t="s">
        <v>118</v>
      </c>
      <c r="I25" s="140" t="s">
        <v>119</v>
      </c>
      <c r="J25" s="141" t="s">
        <v>118</v>
      </c>
      <c r="K25" s="140" t="s">
        <v>119</v>
      </c>
    </row>
    <row r="26" spans="2:11" ht="37.5" customHeight="1" x14ac:dyDescent="0.2">
      <c r="B26" s="125" t="s">
        <v>279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customHeight="1" x14ac:dyDescent="0.2">
      <c r="B27" s="128" t="s">
        <v>287</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customHeight="1" x14ac:dyDescent="0.2">
      <c r="B28" s="128" t="s">
        <v>298</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customHeight="1" x14ac:dyDescent="0.2">
      <c r="B29" s="128" t="s">
        <v>308</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customHeight="1" x14ac:dyDescent="0.2">
      <c r="B30" s="128" t="s">
        <v>88</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Rating'!$C$122:$D$126,2,FALSE),"")</f>
        <v>Acecptable cost management activities activities and results</v>
      </c>
      <c r="J30" s="130">
        <v>3</v>
      </c>
      <c r="K30" s="155" t="str">
        <f>IF(J30&lt;&gt;"",VLOOKUP(J30,'Criteria &amp; Rating'!$C$122:$D$126,2,FALSE),"")</f>
        <v>Acecptable cost management activities activities and results</v>
      </c>
    </row>
    <row r="31" spans="2:11" ht="82.5" customHeight="1" thickBot="1" x14ac:dyDescent="0.25">
      <c r="B31" s="109" t="s">
        <v>330</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Rating'!$C$122:$D$126,2,FALSE),"")</f>
        <v>Execlence cost management activities results</v>
      </c>
      <c r="J31" s="130">
        <v>2</v>
      </c>
      <c r="K31" s="155" t="str">
        <f>IF(J31&lt;&gt;"",VLOOKUP(J31,'Criteria &amp; Rating'!$C$122:$D$126,2,FALSE),"")</f>
        <v>Poor cost management activities and results</v>
      </c>
    </row>
    <row r="32" spans="2:11" ht="18" customHeight="1" thickBot="1" x14ac:dyDescent="0.25">
      <c r="B32" s="118" t="s">
        <v>117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250</v>
      </c>
      <c r="C35" s="119"/>
      <c r="D35" s="120">
        <f>IF(TASK_TYPE="Management Work Task",D32,D19)</f>
        <v>3</v>
      </c>
      <c r="E35" s="121"/>
      <c r="F35" s="120">
        <f>IF(TASK_TYPE="Management Work Task",F32,F19)</f>
        <v>2.8999999999999995</v>
      </c>
      <c r="G35" s="119"/>
      <c r="H35" s="120">
        <f>IF(TASK_TYPE="Management Work Task",H32,H19)</f>
        <v>3.3</v>
      </c>
      <c r="I35" s="121"/>
      <c r="J35" s="120">
        <f>IF(TASK_TYPE="Management Work Task",J32,J19)</f>
        <v>3.05</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pageSetUpPr fitToPage="1"/>
  </sheetPr>
  <dimension ref="A2:E251"/>
  <sheetViews>
    <sheetView tabSelected="1" topLeftCell="A160" zoomScaleNormal="100" workbookViewId="0">
      <selection activeCell="G19" sqref="G19"/>
    </sheetView>
  </sheetViews>
  <sheetFormatPr defaultRowHeight="16.5" outlineLevelRow="2" x14ac:dyDescent="0.2"/>
  <cols>
    <col min="1" max="1" width="9" style="92"/>
    <col min="2" max="2" width="4.375" style="92" customWidth="1"/>
    <col min="3" max="3" width="5.375" style="92" customWidth="1"/>
    <col min="4" max="4" width="72.375" style="92" customWidth="1"/>
    <col min="5" max="5" width="4.875" style="92" customWidth="1"/>
    <col min="6" max="16384" width="9" style="92"/>
  </cols>
  <sheetData>
    <row r="2" spans="1:4" ht="23.25" x14ac:dyDescent="0.2">
      <c r="A2" s="98" t="s">
        <v>115</v>
      </c>
    </row>
    <row r="3" spans="1:4" s="103" customFormat="1" ht="15.75" x14ac:dyDescent="0.2">
      <c r="A3" s="100" t="s">
        <v>114</v>
      </c>
    </row>
    <row r="4" spans="1:4" s="103" customFormat="1" ht="15.75" x14ac:dyDescent="0.2">
      <c r="A4" s="100" t="s">
        <v>166</v>
      </c>
    </row>
    <row r="5" spans="1:4" s="103" customFormat="1" ht="15.75" x14ac:dyDescent="0.2">
      <c r="A5" s="100"/>
      <c r="B5" s="206" t="s">
        <v>200</v>
      </c>
    </row>
    <row r="6" spans="1:4" s="103" customFormat="1" thickBot="1" x14ac:dyDescent="0.25">
      <c r="A6" s="100"/>
      <c r="B6" s="100" t="s">
        <v>172</v>
      </c>
    </row>
    <row r="7" spans="1:4" s="103" customFormat="1" ht="15.75" x14ac:dyDescent="0.2">
      <c r="A7" s="100"/>
      <c r="B7" s="100"/>
      <c r="C7" s="148">
        <v>5</v>
      </c>
      <c r="D7" s="149" t="s">
        <v>182</v>
      </c>
    </row>
    <row r="8" spans="1:4" s="103" customFormat="1" ht="15.75" x14ac:dyDescent="0.2">
      <c r="A8" s="100"/>
      <c r="B8" s="100"/>
      <c r="C8" s="150">
        <v>4</v>
      </c>
      <c r="D8" s="151" t="s">
        <v>181</v>
      </c>
    </row>
    <row r="9" spans="1:4" s="103" customFormat="1" ht="15.75" x14ac:dyDescent="0.2">
      <c r="A9" s="100"/>
      <c r="B9" s="100"/>
      <c r="C9" s="150">
        <v>3</v>
      </c>
      <c r="D9" s="151" t="s">
        <v>188</v>
      </c>
    </row>
    <row r="10" spans="1:4" s="103" customFormat="1" ht="15.75" x14ac:dyDescent="0.2">
      <c r="A10" s="100"/>
      <c r="B10" s="100"/>
      <c r="C10" s="150">
        <v>2</v>
      </c>
      <c r="D10" s="151" t="s">
        <v>180</v>
      </c>
    </row>
    <row r="11" spans="1:4" s="103" customFormat="1" thickBot="1" x14ac:dyDescent="0.25">
      <c r="A11" s="100"/>
      <c r="B11" s="100"/>
      <c r="C11" s="152">
        <v>1</v>
      </c>
      <c r="D11" s="153" t="s">
        <v>179</v>
      </c>
    </row>
    <row r="12" spans="1:4" s="103" customFormat="1" thickBot="1" x14ac:dyDescent="0.25">
      <c r="A12" s="100"/>
      <c r="B12" s="100" t="s">
        <v>173</v>
      </c>
    </row>
    <row r="13" spans="1:4" s="103" customFormat="1" ht="15.75" x14ac:dyDescent="0.2">
      <c r="A13" s="100"/>
      <c r="B13" s="100"/>
      <c r="C13" s="148">
        <v>5</v>
      </c>
      <c r="D13" s="149" t="s">
        <v>187</v>
      </c>
    </row>
    <row r="14" spans="1:4" s="103" customFormat="1" ht="15.75" x14ac:dyDescent="0.2">
      <c r="A14" s="100"/>
      <c r="B14" s="100"/>
      <c r="C14" s="150">
        <v>4</v>
      </c>
      <c r="D14" s="151" t="s">
        <v>186</v>
      </c>
    </row>
    <row r="15" spans="1:4" s="103" customFormat="1" ht="15.75" x14ac:dyDescent="0.2">
      <c r="A15" s="100"/>
      <c r="B15" s="100"/>
      <c r="C15" s="150">
        <v>3</v>
      </c>
      <c r="D15" s="151" t="s">
        <v>183</v>
      </c>
    </row>
    <row r="16" spans="1:4" s="103" customFormat="1" ht="15.75" x14ac:dyDescent="0.2">
      <c r="A16" s="100"/>
      <c r="B16" s="100"/>
      <c r="C16" s="150">
        <v>2</v>
      </c>
      <c r="D16" s="151" t="s">
        <v>184</v>
      </c>
    </row>
    <row r="17" spans="1:4" s="103" customFormat="1" thickBot="1" x14ac:dyDescent="0.25">
      <c r="A17" s="100"/>
      <c r="B17" s="100"/>
      <c r="C17" s="152">
        <v>1</v>
      </c>
      <c r="D17" s="153" t="s">
        <v>185</v>
      </c>
    </row>
    <row r="18" spans="1:4" s="103" customFormat="1" ht="6.75" customHeight="1" x14ac:dyDescent="0.2">
      <c r="A18" s="100"/>
      <c r="B18" s="100"/>
    </row>
    <row r="19" spans="1:4" s="103" customFormat="1" thickBot="1" x14ac:dyDescent="0.25">
      <c r="A19" s="100"/>
      <c r="B19" s="100" t="s">
        <v>190</v>
      </c>
    </row>
    <row r="20" spans="1:4" s="103" customFormat="1" ht="15.75" x14ac:dyDescent="0.2">
      <c r="A20" s="100"/>
      <c r="B20" s="100"/>
      <c r="C20" s="208">
        <v>5</v>
      </c>
      <c r="D20" s="209" t="s">
        <v>191</v>
      </c>
    </row>
    <row r="21" spans="1:4" s="103" customFormat="1" ht="30.75" customHeight="1" x14ac:dyDescent="0.2">
      <c r="A21" s="100"/>
      <c r="B21" s="100"/>
      <c r="C21" s="210">
        <v>4</v>
      </c>
      <c r="D21" s="211" t="s">
        <v>201</v>
      </c>
    </row>
    <row r="22" spans="1:4" s="103" customFormat="1" ht="63.75" x14ac:dyDescent="0.2">
      <c r="A22" s="100"/>
      <c r="B22" s="100"/>
      <c r="C22" s="210">
        <v>3</v>
      </c>
      <c r="D22" s="211" t="s">
        <v>197</v>
      </c>
    </row>
    <row r="23" spans="1:4" s="103" customFormat="1" ht="25.5" x14ac:dyDescent="0.2">
      <c r="A23" s="100"/>
      <c r="B23" s="100"/>
      <c r="C23" s="210">
        <v>2</v>
      </c>
      <c r="D23" s="211" t="s">
        <v>192</v>
      </c>
    </row>
    <row r="24" spans="1:4" s="103" customFormat="1" ht="26.25" thickBot="1" x14ac:dyDescent="0.25">
      <c r="A24" s="100"/>
      <c r="B24" s="100"/>
      <c r="C24" s="212">
        <v>1</v>
      </c>
      <c r="D24" s="213" t="s">
        <v>193</v>
      </c>
    </row>
    <row r="25" spans="1:4" s="103" customFormat="1" ht="15.75" x14ac:dyDescent="0.2">
      <c r="A25" s="100"/>
      <c r="B25" s="100"/>
    </row>
    <row r="26" spans="1:4" s="103" customFormat="1" ht="15.75" x14ac:dyDescent="0.2">
      <c r="A26" s="100"/>
      <c r="B26" s="100" t="s">
        <v>174</v>
      </c>
    </row>
    <row r="27" spans="1:4" s="103" customFormat="1" ht="15.75" x14ac:dyDescent="0.2">
      <c r="A27" s="100"/>
      <c r="B27" s="100"/>
      <c r="C27" s="103" t="s">
        <v>198</v>
      </c>
    </row>
    <row r="28" spans="1:4" s="103" customFormat="1" ht="15.75" x14ac:dyDescent="0.2">
      <c r="A28" s="100"/>
      <c r="B28" s="100"/>
      <c r="C28" s="103" t="s">
        <v>207</v>
      </c>
    </row>
    <row r="29" spans="1:4" s="103" customFormat="1" ht="15.75" x14ac:dyDescent="0.2">
      <c r="A29" s="100"/>
      <c r="B29" s="100"/>
    </row>
    <row r="30" spans="1:4" s="103" customFormat="1" thickBot="1" x14ac:dyDescent="0.25">
      <c r="A30" s="100"/>
      <c r="B30" s="100" t="s">
        <v>199</v>
      </c>
    </row>
    <row r="31" spans="1:4" s="103" customFormat="1" ht="15.75" x14ac:dyDescent="0.2">
      <c r="A31" s="100"/>
      <c r="B31" s="100"/>
      <c r="C31" s="208">
        <v>5</v>
      </c>
      <c r="D31" s="211" t="s">
        <v>204</v>
      </c>
    </row>
    <row r="32" spans="1:4" s="103" customFormat="1" ht="15.75" x14ac:dyDescent="0.2">
      <c r="A32" s="100"/>
      <c r="B32" s="100"/>
      <c r="C32" s="210">
        <v>4</v>
      </c>
      <c r="D32" s="211" t="s">
        <v>203</v>
      </c>
    </row>
    <row r="33" spans="1:4" s="103" customFormat="1" ht="15.75" x14ac:dyDescent="0.2">
      <c r="A33" s="100"/>
      <c r="B33" s="100"/>
      <c r="C33" s="210">
        <v>3</v>
      </c>
      <c r="D33" s="211" t="s">
        <v>202</v>
      </c>
    </row>
    <row r="34" spans="1:4" s="103" customFormat="1" ht="15.75" x14ac:dyDescent="0.2">
      <c r="A34" s="100"/>
      <c r="B34" s="100"/>
      <c r="C34" s="210">
        <v>2</v>
      </c>
      <c r="D34" s="211" t="s">
        <v>205</v>
      </c>
    </row>
    <row r="35" spans="1:4" s="103" customFormat="1" thickBot="1" x14ac:dyDescent="0.25">
      <c r="A35" s="100"/>
      <c r="B35" s="100"/>
      <c r="C35" s="212">
        <v>1</v>
      </c>
      <c r="D35" s="213" t="s">
        <v>206</v>
      </c>
    </row>
    <row r="36" spans="1:4" s="103" customFormat="1" ht="15.75" x14ac:dyDescent="0.2">
      <c r="A36" s="100"/>
      <c r="B36" s="100"/>
    </row>
    <row r="37" spans="1:4" s="103" customFormat="1" ht="15.75" x14ac:dyDescent="0.2">
      <c r="A37" s="107" t="s">
        <v>167</v>
      </c>
    </row>
    <row r="38" spans="1:4" outlineLevel="1" x14ac:dyDescent="0.2">
      <c r="A38" s="100"/>
      <c r="B38" s="95" t="s">
        <v>128</v>
      </c>
    </row>
    <row r="39" spans="1:4" outlineLevel="1" x14ac:dyDescent="0.2">
      <c r="B39" s="96" t="s">
        <v>36</v>
      </c>
      <c r="C39" s="91"/>
    </row>
    <row r="40" spans="1:4" outlineLevel="1" x14ac:dyDescent="0.2">
      <c r="C40" s="95" t="s">
        <v>43</v>
      </c>
    </row>
    <row r="41" spans="1:4" ht="17.25" outlineLevel="2" thickBot="1" x14ac:dyDescent="0.25">
      <c r="C41" s="94" t="s">
        <v>46</v>
      </c>
    </row>
    <row r="42" spans="1:4" outlineLevel="2" x14ac:dyDescent="0.2">
      <c r="B42" s="93"/>
      <c r="C42" s="148">
        <v>5</v>
      </c>
      <c r="D42" s="149" t="s">
        <v>47</v>
      </c>
    </row>
    <row r="43" spans="1:4" outlineLevel="2" x14ac:dyDescent="0.2">
      <c r="B43" s="93"/>
      <c r="C43" s="150">
        <v>4</v>
      </c>
      <c r="D43" s="151" t="s">
        <v>48</v>
      </c>
    </row>
    <row r="44" spans="1:4" outlineLevel="2" x14ac:dyDescent="0.2">
      <c r="B44" s="93"/>
      <c r="C44" s="150">
        <v>3</v>
      </c>
      <c r="D44" s="151" t="s">
        <v>49</v>
      </c>
    </row>
    <row r="45" spans="1:4" outlineLevel="2" x14ac:dyDescent="0.2">
      <c r="B45" s="93"/>
      <c r="C45" s="150">
        <v>2</v>
      </c>
      <c r="D45" s="151" t="s">
        <v>50</v>
      </c>
    </row>
    <row r="46" spans="1:4" ht="17.25" outlineLevel="2" thickBot="1" x14ac:dyDescent="0.25">
      <c r="B46" s="93"/>
      <c r="C46" s="152">
        <v>1</v>
      </c>
      <c r="D46" s="153" t="s">
        <v>51</v>
      </c>
    </row>
    <row r="47" spans="1:4" outlineLevel="1" x14ac:dyDescent="0.2">
      <c r="B47" s="96" t="s">
        <v>79</v>
      </c>
      <c r="C47" s="91"/>
    </row>
    <row r="48" spans="1:4" outlineLevel="1" x14ac:dyDescent="0.2">
      <c r="C48" s="95" t="s">
        <v>40</v>
      </c>
    </row>
    <row r="49" spans="2:4" ht="17.25" outlineLevel="2" thickBot="1" x14ac:dyDescent="0.25">
      <c r="C49" s="94" t="s">
        <v>46</v>
      </c>
    </row>
    <row r="50" spans="2:4" ht="25.5" outlineLevel="2" x14ac:dyDescent="0.2">
      <c r="B50" s="93"/>
      <c r="C50" s="148">
        <v>5</v>
      </c>
      <c r="D50" s="149" t="s">
        <v>52</v>
      </c>
    </row>
    <row r="51" spans="2:4" outlineLevel="2" x14ac:dyDescent="0.2">
      <c r="B51" s="93"/>
      <c r="C51" s="150">
        <v>4</v>
      </c>
      <c r="D51" s="151" t="s">
        <v>53</v>
      </c>
    </row>
    <row r="52" spans="2:4" outlineLevel="2" x14ac:dyDescent="0.2">
      <c r="B52" s="93"/>
      <c r="C52" s="150">
        <v>3</v>
      </c>
      <c r="D52" s="151" t="s">
        <v>54</v>
      </c>
    </row>
    <row r="53" spans="2:4" outlineLevel="2" x14ac:dyDescent="0.2">
      <c r="B53" s="93"/>
      <c r="C53" s="150">
        <v>2</v>
      </c>
      <c r="D53" s="151" t="s">
        <v>55</v>
      </c>
    </row>
    <row r="54" spans="2:4" ht="17.25" outlineLevel="2" thickBot="1" x14ac:dyDescent="0.25">
      <c r="B54" s="93"/>
      <c r="C54" s="152">
        <v>1</v>
      </c>
      <c r="D54" s="153" t="s">
        <v>56</v>
      </c>
    </row>
    <row r="55" spans="2:4" outlineLevel="1" x14ac:dyDescent="0.2">
      <c r="B55" s="96" t="s">
        <v>37</v>
      </c>
      <c r="C55" s="95"/>
    </row>
    <row r="56" spans="2:4" outlineLevel="1" x14ac:dyDescent="0.2">
      <c r="C56" s="95" t="s">
        <v>41</v>
      </c>
    </row>
    <row r="57" spans="2:4" ht="17.25" outlineLevel="2" thickBot="1" x14ac:dyDescent="0.25">
      <c r="C57" s="94" t="s">
        <v>46</v>
      </c>
    </row>
    <row r="58" spans="2:4" outlineLevel="2" x14ac:dyDescent="0.2">
      <c r="B58" s="93"/>
      <c r="C58" s="148">
        <v>5</v>
      </c>
      <c r="D58" s="149" t="s">
        <v>57</v>
      </c>
    </row>
    <row r="59" spans="2:4" outlineLevel="2" x14ac:dyDescent="0.2">
      <c r="B59" s="93"/>
      <c r="C59" s="150">
        <v>4</v>
      </c>
      <c r="D59" s="151" t="s">
        <v>58</v>
      </c>
    </row>
    <row r="60" spans="2:4" outlineLevel="2" x14ac:dyDescent="0.2">
      <c r="B60" s="93"/>
      <c r="C60" s="150">
        <v>3</v>
      </c>
      <c r="D60" s="151" t="s">
        <v>66</v>
      </c>
    </row>
    <row r="61" spans="2:4" outlineLevel="2" x14ac:dyDescent="0.2">
      <c r="B61" s="93"/>
      <c r="C61" s="150">
        <v>2</v>
      </c>
      <c r="D61" s="151" t="s">
        <v>59</v>
      </c>
    </row>
    <row r="62" spans="2:4" ht="17.25" outlineLevel="2" thickBot="1" x14ac:dyDescent="0.25">
      <c r="B62" s="93"/>
      <c r="C62" s="152">
        <v>1</v>
      </c>
      <c r="D62" s="153" t="s">
        <v>60</v>
      </c>
    </row>
    <row r="63" spans="2:4" outlineLevel="1" x14ac:dyDescent="0.2">
      <c r="B63" s="96" t="s">
        <v>42</v>
      </c>
      <c r="C63" s="94"/>
    </row>
    <row r="64" spans="2:4" outlineLevel="1" x14ac:dyDescent="0.2">
      <c r="C64" s="95" t="s">
        <v>44</v>
      </c>
    </row>
    <row r="65" spans="2:4" ht="17.25" outlineLevel="2" thickBot="1" x14ac:dyDescent="0.25">
      <c r="C65" s="94" t="s">
        <v>46</v>
      </c>
    </row>
    <row r="66" spans="2:4" outlineLevel="2" x14ac:dyDescent="0.2">
      <c r="B66" s="93"/>
      <c r="C66" s="148">
        <v>5</v>
      </c>
      <c r="D66" s="149" t="s">
        <v>65</v>
      </c>
    </row>
    <row r="67" spans="2:4" outlineLevel="2" x14ac:dyDescent="0.2">
      <c r="B67" s="93"/>
      <c r="C67" s="150">
        <v>4</v>
      </c>
      <c r="D67" s="151" t="s">
        <v>61</v>
      </c>
    </row>
    <row r="68" spans="2:4" outlineLevel="2" x14ac:dyDescent="0.2">
      <c r="B68" s="93"/>
      <c r="C68" s="150">
        <v>3</v>
      </c>
      <c r="D68" s="151" t="s">
        <v>62</v>
      </c>
    </row>
    <row r="69" spans="2:4" outlineLevel="2" x14ac:dyDescent="0.2">
      <c r="B69" s="93"/>
      <c r="C69" s="150">
        <v>2</v>
      </c>
      <c r="D69" s="151" t="s">
        <v>63</v>
      </c>
    </row>
    <row r="70" spans="2:4" ht="17.25" outlineLevel="2" thickBot="1" x14ac:dyDescent="0.25">
      <c r="B70" s="93"/>
      <c r="C70" s="152">
        <v>1</v>
      </c>
      <c r="D70" s="153" t="s">
        <v>64</v>
      </c>
    </row>
    <row r="71" spans="2:4" outlineLevel="1" x14ac:dyDescent="0.2">
      <c r="B71" s="97" t="s">
        <v>39</v>
      </c>
    </row>
    <row r="72" spans="2:4" outlineLevel="1" x14ac:dyDescent="0.2">
      <c r="C72" s="95" t="s">
        <v>112</v>
      </c>
    </row>
    <row r="73" spans="2:4" ht="17.25" outlineLevel="2" thickBot="1" x14ac:dyDescent="0.25">
      <c r="C73" s="94" t="s">
        <v>46</v>
      </c>
    </row>
    <row r="74" spans="2:4" outlineLevel="2" x14ac:dyDescent="0.2">
      <c r="B74" s="93"/>
      <c r="C74" s="148">
        <v>5</v>
      </c>
      <c r="D74" s="149" t="s">
        <v>67</v>
      </c>
    </row>
    <row r="75" spans="2:4" outlineLevel="2" x14ac:dyDescent="0.2">
      <c r="B75" s="93"/>
      <c r="C75" s="150">
        <v>4</v>
      </c>
      <c r="D75" s="151" t="s">
        <v>68</v>
      </c>
    </row>
    <row r="76" spans="2:4" outlineLevel="2" x14ac:dyDescent="0.2">
      <c r="B76" s="93"/>
      <c r="C76" s="150">
        <v>3</v>
      </c>
      <c r="D76" s="151" t="s">
        <v>69</v>
      </c>
    </row>
    <row r="77" spans="2:4" outlineLevel="2" x14ac:dyDescent="0.2">
      <c r="B77" s="93"/>
      <c r="C77" s="150">
        <v>2</v>
      </c>
      <c r="D77" s="151" t="s">
        <v>70</v>
      </c>
    </row>
    <row r="78" spans="2:4" ht="17.25" outlineLevel="2" thickBot="1" x14ac:dyDescent="0.25">
      <c r="B78" s="93"/>
      <c r="C78" s="152">
        <v>1</v>
      </c>
      <c r="D78" s="153" t="s">
        <v>71</v>
      </c>
    </row>
    <row r="79" spans="2:4" outlineLevel="1" x14ac:dyDescent="0.2">
      <c r="B79" s="97" t="s">
        <v>38</v>
      </c>
    </row>
    <row r="80" spans="2:4" outlineLevel="1" x14ac:dyDescent="0.2">
      <c r="C80" s="95" t="s">
        <v>45</v>
      </c>
    </row>
    <row r="81" spans="1:4" ht="17.25" outlineLevel="2" thickBot="1" x14ac:dyDescent="0.25">
      <c r="C81" s="94" t="s">
        <v>46</v>
      </c>
    </row>
    <row r="82" spans="1:4" outlineLevel="2" x14ac:dyDescent="0.2">
      <c r="B82" s="93"/>
      <c r="C82" s="148">
        <v>5</v>
      </c>
      <c r="D82" s="149" t="s">
        <v>72</v>
      </c>
    </row>
    <row r="83" spans="1:4" outlineLevel="2" x14ac:dyDescent="0.2">
      <c r="B83" s="93"/>
      <c r="C83" s="150">
        <v>4</v>
      </c>
      <c r="D83" s="151" t="s">
        <v>73</v>
      </c>
    </row>
    <row r="84" spans="1:4" outlineLevel="2" x14ac:dyDescent="0.2">
      <c r="B84" s="93"/>
      <c r="C84" s="150">
        <v>3</v>
      </c>
      <c r="D84" s="151" t="s">
        <v>74</v>
      </c>
    </row>
    <row r="85" spans="1:4" outlineLevel="2" x14ac:dyDescent="0.2">
      <c r="B85" s="93"/>
      <c r="C85" s="150">
        <v>2</v>
      </c>
      <c r="D85" s="151" t="s">
        <v>75</v>
      </c>
    </row>
    <row r="86" spans="1:4" ht="17.25" outlineLevel="2" thickBot="1" x14ac:dyDescent="0.25">
      <c r="B86" s="93"/>
      <c r="C86" s="152">
        <v>1</v>
      </c>
      <c r="D86" s="153" t="s">
        <v>76</v>
      </c>
    </row>
    <row r="87" spans="1:4" outlineLevel="1" x14ac:dyDescent="0.2">
      <c r="B87" s="93"/>
      <c r="C87" s="93"/>
      <c r="D87" s="91"/>
    </row>
    <row r="88" spans="1:4" x14ac:dyDescent="0.2">
      <c r="A88" s="283" t="s">
        <v>168</v>
      </c>
      <c r="B88" s="284"/>
      <c r="C88" s="284"/>
      <c r="D88" s="285"/>
    </row>
    <row r="89" spans="1:4" outlineLevel="1" x14ac:dyDescent="0.2">
      <c r="A89" s="97"/>
      <c r="B89" s="106" t="s">
        <v>104</v>
      </c>
      <c r="C89" s="93"/>
      <c r="D89" s="91"/>
    </row>
    <row r="90" spans="1:4" outlineLevel="1" x14ac:dyDescent="0.2">
      <c r="B90" s="97" t="s">
        <v>279</v>
      </c>
      <c r="C90" s="93"/>
      <c r="D90" s="91"/>
    </row>
    <row r="91" spans="1:4" outlineLevel="1" x14ac:dyDescent="0.2">
      <c r="C91" s="95" t="s">
        <v>280</v>
      </c>
    </row>
    <row r="92" spans="1:4" outlineLevel="1" x14ac:dyDescent="0.2">
      <c r="C92" s="95" t="s">
        <v>281</v>
      </c>
    </row>
    <row r="93" spans="1:4" outlineLevel="1" x14ac:dyDescent="0.2">
      <c r="C93" s="95"/>
      <c r="D93" s="91"/>
    </row>
    <row r="94" spans="1:4" ht="17.25" outlineLevel="2" thickBot="1" x14ac:dyDescent="0.25">
      <c r="C94" s="102" t="s">
        <v>46</v>
      </c>
      <c r="D94" s="91"/>
    </row>
    <row r="95" spans="1:4" ht="25.5" outlineLevel="2" x14ac:dyDescent="0.2">
      <c r="C95" s="148">
        <v>5</v>
      </c>
      <c r="D95" s="149" t="s">
        <v>282</v>
      </c>
    </row>
    <row r="96" spans="1:4" ht="25.5" outlineLevel="2" x14ac:dyDescent="0.2">
      <c r="C96" s="150">
        <v>4</v>
      </c>
      <c r="D96" s="151" t="s">
        <v>283</v>
      </c>
    </row>
    <row r="97" spans="2:4" outlineLevel="2" x14ac:dyDescent="0.2">
      <c r="C97" s="150">
        <v>3</v>
      </c>
      <c r="D97" s="151" t="s">
        <v>284</v>
      </c>
    </row>
    <row r="98" spans="2:4" ht="25.5" outlineLevel="2" x14ac:dyDescent="0.2">
      <c r="C98" s="150">
        <v>2</v>
      </c>
      <c r="D98" s="151" t="s">
        <v>285</v>
      </c>
    </row>
    <row r="99" spans="2:4" ht="26.25" outlineLevel="2" thickBot="1" x14ac:dyDescent="0.25">
      <c r="C99" s="152">
        <v>1</v>
      </c>
      <c r="D99" s="153" t="s">
        <v>286</v>
      </c>
    </row>
    <row r="100" spans="2:4" outlineLevel="1" x14ac:dyDescent="0.2">
      <c r="C100" s="93"/>
      <c r="D100" s="91"/>
    </row>
    <row r="101" spans="2:4" outlineLevel="1" x14ac:dyDescent="0.2">
      <c r="B101" s="97" t="s">
        <v>287</v>
      </c>
    </row>
    <row r="102" spans="2:4" outlineLevel="1" x14ac:dyDescent="0.2">
      <c r="C102" s="95" t="s">
        <v>288</v>
      </c>
    </row>
    <row r="103" spans="2:4" outlineLevel="1" x14ac:dyDescent="0.2">
      <c r="C103" s="95" t="s">
        <v>289</v>
      </c>
    </row>
    <row r="104" spans="2:4" outlineLevel="1" x14ac:dyDescent="0.2">
      <c r="C104" s="95"/>
      <c r="D104" s="286" t="s">
        <v>290</v>
      </c>
    </row>
    <row r="105" spans="2:4" outlineLevel="1" x14ac:dyDescent="0.2">
      <c r="C105" s="95"/>
      <c r="D105" s="286" t="s">
        <v>291</v>
      </c>
    </row>
    <row r="106" spans="2:4" outlineLevel="1" x14ac:dyDescent="0.2">
      <c r="C106" s="95"/>
      <c r="D106" s="287" t="s">
        <v>292</v>
      </c>
    </row>
    <row r="107" spans="2:4" outlineLevel="1" x14ac:dyDescent="0.2">
      <c r="C107" s="95"/>
      <c r="D107" s="287"/>
    </row>
    <row r="108" spans="2:4" ht="17.25" outlineLevel="2" thickBot="1" x14ac:dyDescent="0.25">
      <c r="C108" s="102" t="s">
        <v>46</v>
      </c>
      <c r="D108" s="91"/>
    </row>
    <row r="109" spans="2:4" ht="25.5" outlineLevel="2" x14ac:dyDescent="0.2">
      <c r="C109" s="148">
        <v>5</v>
      </c>
      <c r="D109" s="149" t="s">
        <v>293</v>
      </c>
    </row>
    <row r="110" spans="2:4" ht="25.5" outlineLevel="2" x14ac:dyDescent="0.2">
      <c r="C110" s="150">
        <v>4</v>
      </c>
      <c r="D110" s="151" t="s">
        <v>294</v>
      </c>
    </row>
    <row r="111" spans="2:4" ht="38.25" outlineLevel="2" x14ac:dyDescent="0.2">
      <c r="C111" s="150">
        <v>3</v>
      </c>
      <c r="D111" s="151" t="s">
        <v>295</v>
      </c>
    </row>
    <row r="112" spans="2:4" ht="25.5" outlineLevel="2" x14ac:dyDescent="0.2">
      <c r="C112" s="150">
        <v>2</v>
      </c>
      <c r="D112" s="151" t="s">
        <v>296</v>
      </c>
    </row>
    <row r="113" spans="2:4" ht="26.25" outlineLevel="2" thickBot="1" x14ac:dyDescent="0.25">
      <c r="C113" s="152">
        <v>1</v>
      </c>
      <c r="D113" s="153" t="s">
        <v>297</v>
      </c>
    </row>
    <row r="114" spans="2:4" outlineLevel="1" x14ac:dyDescent="0.2">
      <c r="C114" s="93"/>
      <c r="D114" s="91"/>
    </row>
    <row r="115" spans="2:4" outlineLevel="1" x14ac:dyDescent="0.2">
      <c r="B115" s="97" t="s">
        <v>298</v>
      </c>
      <c r="C115" s="104"/>
    </row>
    <row r="116" spans="2:4" outlineLevel="1" x14ac:dyDescent="0.2">
      <c r="C116" s="95" t="s">
        <v>299</v>
      </c>
    </row>
    <row r="117" spans="2:4" outlineLevel="1" x14ac:dyDescent="0.2">
      <c r="C117" s="95" t="s">
        <v>300</v>
      </c>
    </row>
    <row r="118" spans="2:4" outlineLevel="1" x14ac:dyDescent="0.2">
      <c r="C118" s="105"/>
      <c r="D118" s="105" t="s">
        <v>301</v>
      </c>
    </row>
    <row r="119" spans="2:4" outlineLevel="1" x14ac:dyDescent="0.2">
      <c r="C119" s="105"/>
      <c r="D119" s="105" t="s">
        <v>302</v>
      </c>
    </row>
    <row r="120" spans="2:4" outlineLevel="1" x14ac:dyDescent="0.2">
      <c r="C120" s="95"/>
    </row>
    <row r="121" spans="2:4" ht="17.25" outlineLevel="1" thickBot="1" x14ac:dyDescent="0.25">
      <c r="C121" s="102" t="s">
        <v>46</v>
      </c>
      <c r="D121" s="91"/>
    </row>
    <row r="122" spans="2:4" outlineLevel="2" x14ac:dyDescent="0.2">
      <c r="C122" s="148">
        <v>5</v>
      </c>
      <c r="D122" s="149" t="s">
        <v>303</v>
      </c>
    </row>
    <row r="123" spans="2:4" outlineLevel="2" x14ac:dyDescent="0.2">
      <c r="C123" s="150">
        <v>4</v>
      </c>
      <c r="D123" s="151" t="s">
        <v>304</v>
      </c>
    </row>
    <row r="124" spans="2:4" outlineLevel="2" x14ac:dyDescent="0.2">
      <c r="C124" s="150">
        <v>3</v>
      </c>
      <c r="D124" s="151" t="s">
        <v>305</v>
      </c>
    </row>
    <row r="125" spans="2:4" outlineLevel="2" x14ac:dyDescent="0.2">
      <c r="C125" s="150">
        <v>2</v>
      </c>
      <c r="D125" s="151" t="s">
        <v>306</v>
      </c>
    </row>
    <row r="126" spans="2:4" ht="17.25" outlineLevel="2" thickBot="1" x14ac:dyDescent="0.25">
      <c r="C126" s="152">
        <v>1</v>
      </c>
      <c r="D126" s="153" t="s">
        <v>307</v>
      </c>
    </row>
    <row r="127" spans="2:4" outlineLevel="1" x14ac:dyDescent="0.2">
      <c r="C127" s="93"/>
      <c r="D127" s="91"/>
    </row>
    <row r="128" spans="2:4" outlineLevel="1" x14ac:dyDescent="0.2">
      <c r="B128" s="97" t="s">
        <v>308</v>
      </c>
      <c r="C128" s="104"/>
    </row>
    <row r="129" spans="2:5" outlineLevel="1" x14ac:dyDescent="0.2">
      <c r="C129" s="95" t="s">
        <v>309</v>
      </c>
    </row>
    <row r="130" spans="2:5" outlineLevel="1" x14ac:dyDescent="0.2">
      <c r="C130" s="105"/>
    </row>
    <row r="131" spans="2:5" ht="17.25" outlineLevel="2" thickBot="1" x14ac:dyDescent="0.25">
      <c r="C131" s="102" t="s">
        <v>46</v>
      </c>
      <c r="D131" s="91"/>
    </row>
    <row r="132" spans="2:5" outlineLevel="2" x14ac:dyDescent="0.2">
      <c r="C132" s="148">
        <v>5</v>
      </c>
      <c r="D132" s="149" t="s">
        <v>310</v>
      </c>
      <c r="E132" s="287" t="s">
        <v>311</v>
      </c>
    </row>
    <row r="133" spans="2:5" outlineLevel="2" x14ac:dyDescent="0.2">
      <c r="C133" s="150">
        <v>4</v>
      </c>
      <c r="D133" s="151" t="s">
        <v>312</v>
      </c>
      <c r="E133" s="287" t="s">
        <v>313</v>
      </c>
    </row>
    <row r="134" spans="2:5" outlineLevel="2" x14ac:dyDescent="0.2">
      <c r="C134" s="150">
        <v>3</v>
      </c>
      <c r="D134" s="151" t="s">
        <v>314</v>
      </c>
      <c r="E134" s="287" t="s">
        <v>315</v>
      </c>
    </row>
    <row r="135" spans="2:5" outlineLevel="2" x14ac:dyDescent="0.2">
      <c r="C135" s="150">
        <v>2</v>
      </c>
      <c r="D135" s="151" t="s">
        <v>316</v>
      </c>
      <c r="E135" s="287" t="s">
        <v>317</v>
      </c>
    </row>
    <row r="136" spans="2:5" ht="17.25" outlineLevel="2" thickBot="1" x14ac:dyDescent="0.25">
      <c r="C136" s="152">
        <v>1</v>
      </c>
      <c r="D136" s="153" t="s">
        <v>318</v>
      </c>
      <c r="E136" s="287" t="s">
        <v>319</v>
      </c>
    </row>
    <row r="138" spans="2:5" outlineLevel="1" x14ac:dyDescent="0.2">
      <c r="B138" s="97" t="s">
        <v>88</v>
      </c>
    </row>
    <row r="139" spans="2:5" outlineLevel="1" x14ac:dyDescent="0.2">
      <c r="C139" s="95" t="s">
        <v>89</v>
      </c>
    </row>
    <row r="140" spans="2:5" outlineLevel="1" x14ac:dyDescent="0.2"/>
    <row r="141" spans="2:5" ht="17.25" outlineLevel="2" thickBot="1" x14ac:dyDescent="0.25">
      <c r="C141" s="102" t="s">
        <v>46</v>
      </c>
      <c r="D141" s="91"/>
    </row>
    <row r="142" spans="2:5" outlineLevel="2" x14ac:dyDescent="0.2">
      <c r="C142" s="148">
        <v>5</v>
      </c>
      <c r="D142" s="149" t="s">
        <v>90</v>
      </c>
    </row>
    <row r="143" spans="2:5" outlineLevel="2" x14ac:dyDescent="0.2">
      <c r="C143" s="150">
        <v>4</v>
      </c>
      <c r="D143" s="151" t="s">
        <v>91</v>
      </c>
    </row>
    <row r="144" spans="2:5" outlineLevel="2" x14ac:dyDescent="0.2">
      <c r="C144" s="150">
        <v>3</v>
      </c>
      <c r="D144" s="151" t="s">
        <v>92</v>
      </c>
    </row>
    <row r="145" spans="2:4" outlineLevel="2" x14ac:dyDescent="0.2">
      <c r="C145" s="150">
        <v>2</v>
      </c>
      <c r="D145" s="151" t="s">
        <v>93</v>
      </c>
    </row>
    <row r="146" spans="2:4" ht="17.25" outlineLevel="2" thickBot="1" x14ac:dyDescent="0.25">
      <c r="C146" s="152">
        <v>1</v>
      </c>
      <c r="D146" s="153" t="s">
        <v>94</v>
      </c>
    </row>
    <row r="147" spans="2:4" outlineLevel="2" x14ac:dyDescent="0.2">
      <c r="C147" s="204"/>
      <c r="D147" s="205"/>
    </row>
    <row r="148" spans="2:4" outlineLevel="2" x14ac:dyDescent="0.2">
      <c r="C148" s="204"/>
      <c r="D148" s="205"/>
    </row>
    <row r="149" spans="2:4" outlineLevel="2" x14ac:dyDescent="0.2">
      <c r="B149" s="97" t="s">
        <v>320</v>
      </c>
      <c r="C149" s="204"/>
      <c r="D149" s="205"/>
    </row>
    <row r="150" spans="2:4" outlineLevel="2" x14ac:dyDescent="0.2">
      <c r="C150" s="105" t="s">
        <v>321</v>
      </c>
      <c r="D150" s="205"/>
    </row>
    <row r="151" spans="2:4" outlineLevel="2" x14ac:dyDescent="0.2">
      <c r="C151" s="288" t="s">
        <v>322</v>
      </c>
      <c r="D151" s="205"/>
    </row>
    <row r="152" spans="2:4" outlineLevel="2" x14ac:dyDescent="0.2">
      <c r="C152" s="204"/>
      <c r="D152" s="205"/>
    </row>
    <row r="153" spans="2:4" ht="17.25" outlineLevel="2" thickBot="1" x14ac:dyDescent="0.25">
      <c r="C153" s="102" t="s">
        <v>46</v>
      </c>
      <c r="D153" s="91"/>
    </row>
    <row r="154" spans="2:4" ht="51" outlineLevel="2" x14ac:dyDescent="0.2">
      <c r="C154" s="148">
        <v>5</v>
      </c>
      <c r="D154" s="289" t="s">
        <v>323</v>
      </c>
    </row>
    <row r="155" spans="2:4" ht="63.75" outlineLevel="2" x14ac:dyDescent="0.2">
      <c r="C155" s="150">
        <v>4</v>
      </c>
      <c r="D155" s="290" t="s">
        <v>324</v>
      </c>
    </row>
    <row r="156" spans="2:4" ht="51" outlineLevel="2" x14ac:dyDescent="0.2">
      <c r="C156" s="150">
        <v>3</v>
      </c>
      <c r="D156" s="290" t="s">
        <v>325</v>
      </c>
    </row>
    <row r="157" spans="2:4" ht="38.25" outlineLevel="2" x14ac:dyDescent="0.2">
      <c r="C157" s="150">
        <v>2</v>
      </c>
      <c r="D157" s="290" t="s">
        <v>326</v>
      </c>
    </row>
    <row r="158" spans="2:4" ht="39" outlineLevel="2" thickBot="1" x14ac:dyDescent="0.25">
      <c r="C158" s="152">
        <v>1</v>
      </c>
      <c r="D158" s="291" t="s">
        <v>327</v>
      </c>
    </row>
    <row r="159" spans="2:4" outlineLevel="2" x14ac:dyDescent="0.2">
      <c r="C159" s="204"/>
      <c r="D159" s="205"/>
    </row>
    <row r="160" spans="2:4" outlineLevel="1" x14ac:dyDescent="0.2">
      <c r="C160" s="93"/>
      <c r="D160" s="91"/>
    </row>
    <row r="161" spans="1:4" x14ac:dyDescent="0.2">
      <c r="A161" s="97" t="s">
        <v>135</v>
      </c>
    </row>
    <row r="162" spans="1:4" outlineLevel="1" x14ac:dyDescent="0.2">
      <c r="A162" s="97"/>
      <c r="B162" s="101" t="s">
        <v>113</v>
      </c>
    </row>
    <row r="163" spans="1:4" outlineLevel="1" x14ac:dyDescent="0.2">
      <c r="B163" s="97" t="s">
        <v>78</v>
      </c>
    </row>
    <row r="164" spans="1:4" outlineLevel="1" x14ac:dyDescent="0.2">
      <c r="C164" s="95" t="s">
        <v>96</v>
      </c>
    </row>
    <row r="165" spans="1:4" ht="17.25" outlineLevel="2" thickBot="1" x14ac:dyDescent="0.25">
      <c r="C165" s="94" t="s">
        <v>46</v>
      </c>
    </row>
    <row r="166" spans="1:4" ht="25.5" outlineLevel="2" x14ac:dyDescent="0.2">
      <c r="C166" s="148">
        <v>5</v>
      </c>
      <c r="D166" s="149" t="s">
        <v>144</v>
      </c>
    </row>
    <row r="167" spans="1:4" ht="25.5" outlineLevel="2" x14ac:dyDescent="0.2">
      <c r="C167" s="150">
        <v>4</v>
      </c>
      <c r="D167" s="151" t="s">
        <v>143</v>
      </c>
    </row>
    <row r="168" spans="1:4" ht="25.5" outlineLevel="2" x14ac:dyDescent="0.2">
      <c r="C168" s="150">
        <v>3</v>
      </c>
      <c r="D168" s="151" t="s">
        <v>145</v>
      </c>
    </row>
    <row r="169" spans="1:4" ht="25.5" outlineLevel="2" x14ac:dyDescent="0.2">
      <c r="C169" s="150">
        <v>2</v>
      </c>
      <c r="D169" s="151" t="s">
        <v>146</v>
      </c>
    </row>
    <row r="170" spans="1:4" ht="26.25" outlineLevel="2" thickBot="1" x14ac:dyDescent="0.25">
      <c r="C170" s="152">
        <v>1</v>
      </c>
      <c r="D170" s="153" t="s">
        <v>147</v>
      </c>
    </row>
    <row r="171" spans="1:4" outlineLevel="1" x14ac:dyDescent="0.2">
      <c r="B171" s="97" t="s">
        <v>95</v>
      </c>
    </row>
    <row r="172" spans="1:4" outlineLevel="1" x14ac:dyDescent="0.2">
      <c r="C172" s="95" t="s">
        <v>80</v>
      </c>
    </row>
    <row r="173" spans="1:4" ht="17.25" outlineLevel="2" thickBot="1" x14ac:dyDescent="0.25">
      <c r="C173" s="94" t="s">
        <v>46</v>
      </c>
    </row>
    <row r="174" spans="1:4" outlineLevel="2" x14ac:dyDescent="0.2">
      <c r="C174" s="148">
        <v>5</v>
      </c>
      <c r="D174" s="149" t="s">
        <v>81</v>
      </c>
    </row>
    <row r="175" spans="1:4" outlineLevel="2" x14ac:dyDescent="0.2">
      <c r="C175" s="150">
        <v>4</v>
      </c>
      <c r="D175" s="151" t="s">
        <v>82</v>
      </c>
    </row>
    <row r="176" spans="1:4" outlineLevel="2" x14ac:dyDescent="0.2">
      <c r="C176" s="150">
        <v>3</v>
      </c>
      <c r="D176" s="151" t="s">
        <v>83</v>
      </c>
    </row>
    <row r="177" spans="2:4" outlineLevel="2" x14ac:dyDescent="0.2">
      <c r="C177" s="150">
        <v>2</v>
      </c>
      <c r="D177" s="151" t="s">
        <v>84</v>
      </c>
    </row>
    <row r="178" spans="2:4" ht="17.25" outlineLevel="2" thickBot="1" x14ac:dyDescent="0.25">
      <c r="C178" s="152">
        <v>1</v>
      </c>
      <c r="D178" s="153" t="s">
        <v>85</v>
      </c>
    </row>
    <row r="179" spans="2:4" outlineLevel="1" x14ac:dyDescent="0.2">
      <c r="B179" s="97" t="s">
        <v>86</v>
      </c>
    </row>
    <row r="180" spans="2:4" outlineLevel="1" x14ac:dyDescent="0.2">
      <c r="C180" s="105" t="s">
        <v>97</v>
      </c>
    </row>
    <row r="181" spans="2:4" outlineLevel="1" x14ac:dyDescent="0.2">
      <c r="C181" s="105" t="s">
        <v>98</v>
      </c>
    </row>
    <row r="182" spans="2:4" ht="17.25" outlineLevel="2" thickBot="1" x14ac:dyDescent="0.25">
      <c r="C182" s="94" t="s">
        <v>46</v>
      </c>
    </row>
    <row r="183" spans="2:4" outlineLevel="2" x14ac:dyDescent="0.2">
      <c r="C183" s="148">
        <v>5</v>
      </c>
      <c r="D183" s="149" t="s">
        <v>99</v>
      </c>
    </row>
    <row r="184" spans="2:4" outlineLevel="2" x14ac:dyDescent="0.2">
      <c r="C184" s="150">
        <v>4</v>
      </c>
      <c r="D184" s="151" t="s">
        <v>100</v>
      </c>
    </row>
    <row r="185" spans="2:4" outlineLevel="2" x14ac:dyDescent="0.2">
      <c r="C185" s="150">
        <v>3</v>
      </c>
      <c r="D185" s="151" t="s">
        <v>101</v>
      </c>
    </row>
    <row r="186" spans="2:4" outlineLevel="2" x14ac:dyDescent="0.2">
      <c r="C186" s="150">
        <v>2</v>
      </c>
      <c r="D186" s="151" t="s">
        <v>102</v>
      </c>
    </row>
    <row r="187" spans="2:4" ht="17.25" outlineLevel="2" thickBot="1" x14ac:dyDescent="0.25">
      <c r="C187" s="152">
        <v>1</v>
      </c>
      <c r="D187" s="153" t="s">
        <v>103</v>
      </c>
    </row>
    <row r="188" spans="2:4" outlineLevel="1" x14ac:dyDescent="0.2">
      <c r="B188" s="97" t="s">
        <v>87</v>
      </c>
      <c r="C188" s="104"/>
    </row>
    <row r="189" spans="2:4" outlineLevel="1" x14ac:dyDescent="0.2">
      <c r="C189" s="105" t="s">
        <v>110</v>
      </c>
    </row>
    <row r="190" spans="2:4" outlineLevel="1" x14ac:dyDescent="0.2">
      <c r="C190" s="105" t="s">
        <v>111</v>
      </c>
    </row>
    <row r="191" spans="2:4" ht="17.25" outlineLevel="2" thickBot="1" x14ac:dyDescent="0.25">
      <c r="C191" s="94" t="s">
        <v>46</v>
      </c>
    </row>
    <row r="192" spans="2:4" outlineLevel="2" x14ac:dyDescent="0.2">
      <c r="C192" s="148">
        <v>5</v>
      </c>
      <c r="D192" s="149" t="s">
        <v>105</v>
      </c>
    </row>
    <row r="193" spans="1:4" outlineLevel="2" x14ac:dyDescent="0.2">
      <c r="C193" s="150">
        <v>4</v>
      </c>
      <c r="D193" s="151" t="s">
        <v>106</v>
      </c>
    </row>
    <row r="194" spans="1:4" outlineLevel="2" x14ac:dyDescent="0.2">
      <c r="C194" s="150">
        <v>3</v>
      </c>
      <c r="D194" s="151" t="s">
        <v>107</v>
      </c>
    </row>
    <row r="195" spans="1:4" outlineLevel="2" x14ac:dyDescent="0.2">
      <c r="C195" s="150">
        <v>2</v>
      </c>
      <c r="D195" s="151" t="s">
        <v>108</v>
      </c>
    </row>
    <row r="196" spans="1:4" ht="17.25" outlineLevel="2" thickBot="1" x14ac:dyDescent="0.25">
      <c r="C196" s="152">
        <v>1</v>
      </c>
      <c r="D196" s="153" t="s">
        <v>109</v>
      </c>
    </row>
    <row r="197" spans="1:4" outlineLevel="1" x14ac:dyDescent="0.2">
      <c r="B197" s="97" t="s">
        <v>136</v>
      </c>
      <c r="C197" s="104"/>
    </row>
    <row r="198" spans="1:4" outlineLevel="1" x14ac:dyDescent="0.2">
      <c r="C198" s="105" t="s">
        <v>142</v>
      </c>
    </row>
    <row r="199" spans="1:4" outlineLevel="1" x14ac:dyDescent="0.2">
      <c r="C199" s="105"/>
    </row>
    <row r="200" spans="1:4" ht="17.25" outlineLevel="2" thickBot="1" x14ac:dyDescent="0.25">
      <c r="C200" s="94" t="s">
        <v>46</v>
      </c>
    </row>
    <row r="201" spans="1:4" ht="41.25" customHeight="1" outlineLevel="2" x14ac:dyDescent="0.2">
      <c r="C201" s="148">
        <v>5</v>
      </c>
      <c r="D201" s="149" t="s">
        <v>139</v>
      </c>
    </row>
    <row r="202" spans="1:4" ht="38.25" outlineLevel="2" x14ac:dyDescent="0.2">
      <c r="C202" s="150">
        <v>4</v>
      </c>
      <c r="D202" s="151" t="s">
        <v>140</v>
      </c>
    </row>
    <row r="203" spans="1:4" ht="27.75" customHeight="1" outlineLevel="2" x14ac:dyDescent="0.2">
      <c r="C203" s="150">
        <v>3</v>
      </c>
      <c r="D203" s="151" t="s">
        <v>141</v>
      </c>
    </row>
    <row r="204" spans="1:4" ht="28.5" customHeight="1" outlineLevel="2" x14ac:dyDescent="0.2">
      <c r="C204" s="150">
        <v>2</v>
      </c>
      <c r="D204" s="151" t="s">
        <v>137</v>
      </c>
    </row>
    <row r="205" spans="1:4" ht="17.25" outlineLevel="2" thickBot="1" x14ac:dyDescent="0.25">
      <c r="C205" s="152">
        <v>1</v>
      </c>
      <c r="D205" s="153" t="s">
        <v>138</v>
      </c>
    </row>
    <row r="206" spans="1:4" outlineLevel="2" x14ac:dyDescent="0.2">
      <c r="C206" s="204"/>
      <c r="D206" s="205"/>
    </row>
    <row r="207" spans="1:4" x14ac:dyDescent="0.2">
      <c r="A207" s="97" t="s">
        <v>171</v>
      </c>
      <c r="B207" s="97"/>
    </row>
    <row r="208" spans="1:4" ht="17.25" thickBot="1" x14ac:dyDescent="0.25">
      <c r="A208" s="97"/>
      <c r="B208" s="97"/>
      <c r="C208" s="92" t="s">
        <v>178</v>
      </c>
    </row>
    <row r="209" spans="1:4" x14ac:dyDescent="0.2">
      <c r="B209" s="97"/>
      <c r="C209" s="148">
        <v>0.5</v>
      </c>
      <c r="D209" s="149" t="s">
        <v>175</v>
      </c>
    </row>
    <row r="210" spans="1:4" x14ac:dyDescent="0.2">
      <c r="B210" s="97"/>
      <c r="C210" s="150">
        <v>0.3</v>
      </c>
      <c r="D210" s="151" t="s">
        <v>176</v>
      </c>
    </row>
    <row r="211" spans="1:4" ht="17.25" thickBot="1" x14ac:dyDescent="0.25">
      <c r="B211" s="97"/>
      <c r="C211" s="152">
        <v>0.1</v>
      </c>
      <c r="D211" s="153" t="s">
        <v>177</v>
      </c>
    </row>
    <row r="212" spans="1:4" ht="16.5" customHeight="1" x14ac:dyDescent="0.2">
      <c r="B212" s="97"/>
      <c r="C212" s="223" t="s">
        <v>194</v>
      </c>
    </row>
    <row r="213" spans="1:4" x14ac:dyDescent="0.2">
      <c r="A213" s="97" t="s">
        <v>169</v>
      </c>
      <c r="C213" s="104"/>
    </row>
    <row r="214" spans="1:4" x14ac:dyDescent="0.2">
      <c r="B214" s="105" t="s">
        <v>153</v>
      </c>
      <c r="C214" s="104"/>
    </row>
    <row r="215" spans="1:4" x14ac:dyDescent="0.2">
      <c r="B215" s="105" t="s">
        <v>155</v>
      </c>
      <c r="C215" s="104"/>
    </row>
    <row r="216" spans="1:4" x14ac:dyDescent="0.2">
      <c r="B216" s="105" t="s">
        <v>154</v>
      </c>
      <c r="C216" s="104"/>
    </row>
    <row r="217" spans="1:4" ht="17.25" thickBot="1" x14ac:dyDescent="0.25">
      <c r="C217" s="94" t="s">
        <v>46</v>
      </c>
    </row>
    <row r="218" spans="1:4" ht="25.5" x14ac:dyDescent="0.2">
      <c r="C218" s="148">
        <v>5</v>
      </c>
      <c r="D218" s="149" t="s">
        <v>121</v>
      </c>
    </row>
    <row r="219" spans="1:4" ht="25.5" x14ac:dyDescent="0.2">
      <c r="C219" s="150">
        <v>4</v>
      </c>
      <c r="D219" s="151" t="s">
        <v>122</v>
      </c>
    </row>
    <row r="220" spans="1:4" x14ac:dyDescent="0.2">
      <c r="C220" s="150">
        <v>3</v>
      </c>
      <c r="D220" s="151" t="s">
        <v>123</v>
      </c>
    </row>
    <row r="221" spans="1:4" x14ac:dyDescent="0.2">
      <c r="C221" s="150">
        <v>2</v>
      </c>
      <c r="D221" s="151" t="s">
        <v>124</v>
      </c>
    </row>
    <row r="222" spans="1:4" ht="17.25" thickBot="1" x14ac:dyDescent="0.25">
      <c r="C222" s="152">
        <v>1</v>
      </c>
      <c r="D222" s="153" t="s">
        <v>125</v>
      </c>
    </row>
    <row r="223" spans="1:4" x14ac:dyDescent="0.2">
      <c r="C223" s="104"/>
    </row>
    <row r="224" spans="1:4" x14ac:dyDescent="0.2">
      <c r="A224" s="97" t="s">
        <v>170</v>
      </c>
      <c r="C224" s="104"/>
    </row>
    <row r="225" spans="3:4" ht="17.25" thickBot="1" x14ac:dyDescent="0.25">
      <c r="C225" s="104"/>
    </row>
    <row r="226" spans="3:4" ht="25.5" x14ac:dyDescent="0.2">
      <c r="C226" s="148">
        <v>5</v>
      </c>
      <c r="D226" s="149" t="s">
        <v>148</v>
      </c>
    </row>
    <row r="227" spans="3:4" x14ac:dyDescent="0.2">
      <c r="C227" s="150">
        <v>4</v>
      </c>
      <c r="D227" s="151" t="s">
        <v>149</v>
      </c>
    </row>
    <row r="228" spans="3:4" x14ac:dyDescent="0.2">
      <c r="C228" s="150">
        <v>3</v>
      </c>
      <c r="D228" s="151" t="s">
        <v>150</v>
      </c>
    </row>
    <row r="229" spans="3:4" x14ac:dyDescent="0.2">
      <c r="C229" s="150">
        <v>2</v>
      </c>
      <c r="D229" s="151" t="s">
        <v>151</v>
      </c>
    </row>
    <row r="230" spans="3:4" ht="17.25" thickBot="1" x14ac:dyDescent="0.25">
      <c r="C230" s="152">
        <v>1</v>
      </c>
      <c r="D230" s="153" t="s">
        <v>152</v>
      </c>
    </row>
    <row r="231" spans="3:4" x14ac:dyDescent="0.2">
      <c r="C231" s="104"/>
    </row>
    <row r="232" spans="3:4" x14ac:dyDescent="0.2">
      <c r="C232" s="104"/>
    </row>
    <row r="233" spans="3:4" x14ac:dyDescent="0.2">
      <c r="C233" s="104"/>
    </row>
    <row r="234" spans="3:4" x14ac:dyDescent="0.2">
      <c r="C234" s="104"/>
    </row>
    <row r="235" spans="3:4" x14ac:dyDescent="0.2">
      <c r="C235" s="104"/>
    </row>
    <row r="236" spans="3:4" x14ac:dyDescent="0.2">
      <c r="C236" s="104"/>
    </row>
    <row r="237" spans="3:4" x14ac:dyDescent="0.2">
      <c r="C237" s="104"/>
    </row>
    <row r="238" spans="3:4" x14ac:dyDescent="0.2">
      <c r="C238" s="104"/>
    </row>
    <row r="239" spans="3:4" x14ac:dyDescent="0.2">
      <c r="C239" s="104"/>
    </row>
    <row r="240" spans="3:4" x14ac:dyDescent="0.2">
      <c r="C240" s="104"/>
    </row>
    <row r="241" spans="3:3" x14ac:dyDescent="0.2">
      <c r="C241" s="104"/>
    </row>
    <row r="242" spans="3:3" x14ac:dyDescent="0.2">
      <c r="C242" s="104"/>
    </row>
    <row r="243" spans="3:3" x14ac:dyDescent="0.2">
      <c r="C243" s="104"/>
    </row>
    <row r="244" spans="3:3" x14ac:dyDescent="0.2">
      <c r="C244" s="104"/>
    </row>
    <row r="245" spans="3:3" x14ac:dyDescent="0.2">
      <c r="C245" s="104"/>
    </row>
    <row r="246" spans="3:3" x14ac:dyDescent="0.2">
      <c r="C246" s="104"/>
    </row>
    <row r="247" spans="3:3" x14ac:dyDescent="0.2">
      <c r="C247" s="104"/>
    </row>
    <row r="248" spans="3:3" x14ac:dyDescent="0.2">
      <c r="C248" s="104"/>
    </row>
    <row r="249" spans="3:3" x14ac:dyDescent="0.2">
      <c r="C249" s="104"/>
    </row>
    <row r="250" spans="3:3" x14ac:dyDescent="0.2">
      <c r="C250" s="104"/>
    </row>
    <row r="251" spans="3:3" x14ac:dyDescent="0.2">
      <c r="C251" s="104"/>
    </row>
  </sheetData>
  <pageMargins left="0.74791666666666667" right="0.74791666666666667" top="0.98402777777777772" bottom="0.98402777777777772" header="0.51180555555555551" footer="0.51180555555555551"/>
  <pageSetup scale="58" firstPageNumber="0"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B2:L27"/>
  <sheetViews>
    <sheetView zoomScale="85" zoomScaleNormal="85" workbookViewId="0">
      <selection activeCell="D234" sqref="D234"/>
    </sheetView>
  </sheetViews>
  <sheetFormatPr defaultRowHeight="12.75" x14ac:dyDescent="0.2"/>
  <cols>
    <col min="1" max="1" width="0.125" style="225" customWidth="1"/>
    <col min="2" max="2" width="6.25" style="225" customWidth="1"/>
    <col min="3" max="3" width="25" style="225" customWidth="1"/>
    <col min="4" max="4" width="56.25" style="225" customWidth="1"/>
    <col min="5" max="5" width="24.25" style="225" customWidth="1"/>
    <col min="6" max="12" width="9" style="225"/>
    <col min="13" max="13" width="9.875" style="225" customWidth="1"/>
    <col min="14" max="14" width="19.625" style="225" customWidth="1"/>
    <col min="15" max="16384" width="9" style="225"/>
  </cols>
  <sheetData>
    <row r="2" spans="2:12" ht="13.5" thickBot="1" x14ac:dyDescent="0.25"/>
    <row r="3" spans="2:12" ht="13.5" thickBot="1" x14ac:dyDescent="0.25">
      <c r="B3" s="226" t="s">
        <v>215</v>
      </c>
      <c r="C3" s="227" t="s">
        <v>216</v>
      </c>
      <c r="D3" s="227" t="s">
        <v>217</v>
      </c>
      <c r="E3" s="228" t="s">
        <v>218</v>
      </c>
    </row>
    <row r="4" spans="2:12" ht="24.95" customHeight="1" x14ac:dyDescent="0.2">
      <c r="B4" s="398">
        <v>1</v>
      </c>
      <c r="C4" s="229" t="s">
        <v>219</v>
      </c>
      <c r="D4" s="400" t="s">
        <v>242</v>
      </c>
      <c r="E4" s="402"/>
      <c r="F4" s="205"/>
      <c r="G4" s="205"/>
      <c r="H4" s="205"/>
      <c r="I4" s="205"/>
      <c r="J4" s="205"/>
      <c r="K4" s="205"/>
      <c r="L4" s="205"/>
    </row>
    <row r="5" spans="2:12" ht="24.95" customHeight="1" thickBot="1" x14ac:dyDescent="0.25">
      <c r="B5" s="399"/>
      <c r="C5" s="230" t="s">
        <v>220</v>
      </c>
      <c r="D5" s="401"/>
      <c r="E5" s="403"/>
      <c r="F5" s="205"/>
      <c r="G5" s="205"/>
      <c r="H5" s="205"/>
      <c r="I5" s="205"/>
      <c r="J5" s="205"/>
      <c r="K5" s="205"/>
      <c r="L5" s="205"/>
    </row>
    <row r="6" spans="2:12" ht="24.95" customHeight="1" x14ac:dyDescent="0.2">
      <c r="B6" s="398">
        <v>2</v>
      </c>
      <c r="C6" s="231" t="s">
        <v>221</v>
      </c>
      <c r="D6" s="400" t="s">
        <v>243</v>
      </c>
      <c r="E6" s="402"/>
      <c r="F6" s="205"/>
      <c r="G6" s="205"/>
      <c r="H6" s="205"/>
      <c r="I6" s="205"/>
      <c r="J6" s="205"/>
      <c r="K6" s="205"/>
      <c r="L6" s="205"/>
    </row>
    <row r="7" spans="2:12" ht="24.95" customHeight="1" thickBot="1" x14ac:dyDescent="0.25">
      <c r="B7" s="399"/>
      <c r="C7" s="232" t="s">
        <v>222</v>
      </c>
      <c r="D7" s="401"/>
      <c r="E7" s="403"/>
      <c r="F7" s="205"/>
      <c r="G7" s="205"/>
      <c r="H7" s="205"/>
      <c r="I7" s="205"/>
      <c r="J7" s="205"/>
      <c r="K7" s="205"/>
      <c r="L7" s="205"/>
    </row>
    <row r="8" spans="2:12" ht="24.95" customHeight="1" x14ac:dyDescent="0.2">
      <c r="B8" s="398">
        <v>3</v>
      </c>
      <c r="C8" s="229" t="s">
        <v>223</v>
      </c>
      <c r="D8" s="400" t="s">
        <v>244</v>
      </c>
      <c r="E8" s="404" t="s">
        <v>224</v>
      </c>
    </row>
    <row r="9" spans="2:12" ht="24.95" customHeight="1" thickBot="1" x14ac:dyDescent="0.25">
      <c r="B9" s="399"/>
      <c r="C9" s="230" t="s">
        <v>225</v>
      </c>
      <c r="D9" s="401"/>
      <c r="E9" s="405"/>
    </row>
    <row r="10" spans="2:12" ht="28.5" customHeight="1" x14ac:dyDescent="0.2">
      <c r="B10" s="398">
        <v>4</v>
      </c>
      <c r="C10" s="233" t="s">
        <v>226</v>
      </c>
      <c r="D10" s="406" t="s">
        <v>245</v>
      </c>
      <c r="E10" s="407"/>
    </row>
    <row r="11" spans="2:12" ht="30" customHeight="1" thickBot="1" x14ac:dyDescent="0.25">
      <c r="B11" s="399"/>
      <c r="C11" s="232" t="s">
        <v>227</v>
      </c>
      <c r="D11" s="401"/>
      <c r="E11" s="405"/>
    </row>
    <row r="12" spans="2:12" ht="20.100000000000001" customHeight="1" x14ac:dyDescent="0.2">
      <c r="B12" s="398">
        <v>5</v>
      </c>
      <c r="C12" s="229" t="s">
        <v>228</v>
      </c>
      <c r="D12" s="400" t="s">
        <v>246</v>
      </c>
      <c r="E12" s="402"/>
    </row>
    <row r="13" spans="2:12" ht="20.100000000000001" customHeight="1" x14ac:dyDescent="0.2">
      <c r="B13" s="416"/>
      <c r="C13" s="234" t="s">
        <v>229</v>
      </c>
      <c r="D13" s="406"/>
      <c r="E13" s="417"/>
    </row>
    <row r="14" spans="2:12" ht="20.100000000000001" customHeight="1" x14ac:dyDescent="0.2">
      <c r="B14" s="416"/>
      <c r="C14" s="234" t="s">
        <v>230</v>
      </c>
      <c r="D14" s="406"/>
      <c r="E14" s="417"/>
    </row>
    <row r="15" spans="2:12" ht="20.100000000000001" customHeight="1" thickBot="1" x14ac:dyDescent="0.25">
      <c r="B15" s="416"/>
      <c r="C15" s="292" t="s">
        <v>231</v>
      </c>
      <c r="D15" s="406"/>
      <c r="E15" s="417"/>
    </row>
    <row r="16" spans="2:12" ht="39.950000000000003" customHeight="1" x14ac:dyDescent="0.2">
      <c r="B16" s="398">
        <v>6</v>
      </c>
      <c r="C16" s="231" t="s">
        <v>232</v>
      </c>
      <c r="D16" s="400" t="s">
        <v>247</v>
      </c>
      <c r="E16" s="418"/>
    </row>
    <row r="17" spans="2:5" ht="39.950000000000003" customHeight="1" x14ac:dyDescent="0.2">
      <c r="B17" s="416"/>
      <c r="C17" s="235" t="s">
        <v>233</v>
      </c>
      <c r="D17" s="406"/>
      <c r="E17" s="419"/>
    </row>
    <row r="18" spans="2:5" ht="39.950000000000003" customHeight="1" x14ac:dyDescent="0.2">
      <c r="B18" s="416"/>
      <c r="C18" s="235" t="s">
        <v>234</v>
      </c>
      <c r="D18" s="406"/>
      <c r="E18" s="419"/>
    </row>
    <row r="19" spans="2:5" ht="31.5" customHeight="1" thickBot="1" x14ac:dyDescent="0.25">
      <c r="B19" s="399"/>
      <c r="C19" s="293" t="s">
        <v>328</v>
      </c>
      <c r="D19" s="401"/>
      <c r="E19" s="420"/>
    </row>
    <row r="20" spans="2:5" ht="30" customHeight="1" x14ac:dyDescent="0.2">
      <c r="B20" s="294">
        <v>7</v>
      </c>
      <c r="C20" s="295" t="s">
        <v>235</v>
      </c>
      <c r="D20" s="406" t="s">
        <v>248</v>
      </c>
      <c r="E20" s="408"/>
    </row>
    <row r="21" spans="2:5" ht="30" customHeight="1" x14ac:dyDescent="0.2">
      <c r="B21" s="237">
        <v>7</v>
      </c>
      <c r="C21" s="234" t="s">
        <v>236</v>
      </c>
      <c r="D21" s="406"/>
      <c r="E21" s="409"/>
    </row>
    <row r="22" spans="2:5" ht="30" customHeight="1" x14ac:dyDescent="0.2">
      <c r="B22" s="296">
        <v>8</v>
      </c>
      <c r="C22" s="292" t="s">
        <v>237</v>
      </c>
      <c r="D22" s="406"/>
      <c r="E22" s="410"/>
    </row>
    <row r="23" spans="2:5" ht="30" customHeight="1" thickBot="1" x14ac:dyDescent="0.25">
      <c r="B23" s="238">
        <v>8</v>
      </c>
      <c r="C23" s="293" t="s">
        <v>329</v>
      </c>
      <c r="D23" s="401"/>
      <c r="E23" s="411"/>
    </row>
    <row r="24" spans="2:5" ht="30" customHeight="1" x14ac:dyDescent="0.2">
      <c r="B24" s="236">
        <v>8</v>
      </c>
      <c r="C24" s="231" t="s">
        <v>238</v>
      </c>
      <c r="D24" s="412" t="s">
        <v>249</v>
      </c>
      <c r="E24" s="415"/>
    </row>
    <row r="25" spans="2:5" ht="30" customHeight="1" x14ac:dyDescent="0.2">
      <c r="B25" s="237">
        <v>9</v>
      </c>
      <c r="C25" s="235" t="s">
        <v>239</v>
      </c>
      <c r="D25" s="413"/>
      <c r="E25" s="409"/>
    </row>
    <row r="26" spans="2:5" ht="30" customHeight="1" x14ac:dyDescent="0.2">
      <c r="B26" s="237">
        <v>10</v>
      </c>
      <c r="C26" s="235" t="s">
        <v>240</v>
      </c>
      <c r="D26" s="413"/>
      <c r="E26" s="409"/>
    </row>
    <row r="27" spans="2:5" ht="30" customHeight="1" thickBot="1" x14ac:dyDescent="0.25">
      <c r="B27" s="238">
        <v>11</v>
      </c>
      <c r="C27" s="232" t="s">
        <v>241</v>
      </c>
      <c r="D27" s="414"/>
      <c r="E27" s="411"/>
    </row>
  </sheetData>
  <mergeCells count="22">
    <mergeCell ref="D20:D23"/>
    <mergeCell ref="E20:E23"/>
    <mergeCell ref="D24:D27"/>
    <mergeCell ref="E24:E27"/>
    <mergeCell ref="B12:B15"/>
    <mergeCell ref="D12:D15"/>
    <mergeCell ref="E12:E15"/>
    <mergeCell ref="B16:B19"/>
    <mergeCell ref="D16:D19"/>
    <mergeCell ref="E16:E19"/>
    <mergeCell ref="B8:B9"/>
    <mergeCell ref="D8:D9"/>
    <mergeCell ref="E8:E9"/>
    <mergeCell ref="B10:B11"/>
    <mergeCell ref="D10:D11"/>
    <mergeCell ref="E10:E11"/>
    <mergeCell ref="B4:B5"/>
    <mergeCell ref="D4:D5"/>
    <mergeCell ref="E4:E5"/>
    <mergeCell ref="B6:B7"/>
    <mergeCell ref="D6:D7"/>
    <mergeCell ref="E6:E7"/>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E83"/>
  <sheetViews>
    <sheetView zoomScale="70" zoomScaleNormal="70" workbookViewId="0">
      <selection activeCell="D234" sqref="D234"/>
    </sheetView>
  </sheetViews>
  <sheetFormatPr defaultColWidth="9" defaultRowHeight="12.75" x14ac:dyDescent="0.2"/>
  <cols>
    <col min="1" max="1" width="8.25" style="239" customWidth="1"/>
    <col min="2" max="2" width="42" style="239" customWidth="1"/>
    <col min="3" max="7" width="9" style="239" customWidth="1"/>
    <col min="8" max="8" width="21.875" style="239" bestFit="1" customWidth="1"/>
    <col min="9" max="256" width="9" style="239"/>
    <col min="257" max="257" width="8.25" style="239" customWidth="1"/>
    <col min="258" max="258" width="22.125" style="239" bestFit="1" customWidth="1"/>
    <col min="259" max="263" width="9" style="239" customWidth="1"/>
    <col min="264" max="264" width="21.875" style="239" bestFit="1" customWidth="1"/>
    <col min="265" max="512" width="9" style="239"/>
    <col min="513" max="513" width="8.25" style="239" customWidth="1"/>
    <col min="514" max="514" width="22.125" style="239" bestFit="1" customWidth="1"/>
    <col min="515" max="519" width="9" style="239" customWidth="1"/>
    <col min="520" max="520" width="21.875" style="239" bestFit="1" customWidth="1"/>
    <col min="521" max="768" width="9" style="239"/>
    <col min="769" max="769" width="8.25" style="239" customWidth="1"/>
    <col min="770" max="770" width="22.125" style="239" bestFit="1" customWidth="1"/>
    <col min="771" max="775" width="9" style="239" customWidth="1"/>
    <col min="776" max="776" width="21.875" style="239" bestFit="1" customWidth="1"/>
    <col min="777" max="1024" width="9" style="239"/>
    <col min="1025" max="1025" width="8.25" style="239" customWidth="1"/>
    <col min="1026" max="1026" width="22.125" style="239" bestFit="1" customWidth="1"/>
    <col min="1027" max="1031" width="9" style="239" customWidth="1"/>
    <col min="1032" max="1032" width="21.875" style="239" bestFit="1" customWidth="1"/>
    <col min="1033" max="1280" width="9" style="239"/>
    <col min="1281" max="1281" width="8.25" style="239" customWidth="1"/>
    <col min="1282" max="1282" width="22.125" style="239" bestFit="1" customWidth="1"/>
    <col min="1283" max="1287" width="9" style="239" customWidth="1"/>
    <col min="1288" max="1288" width="21.875" style="239" bestFit="1" customWidth="1"/>
    <col min="1289" max="1536" width="9" style="239"/>
    <col min="1537" max="1537" width="8.25" style="239" customWidth="1"/>
    <col min="1538" max="1538" width="22.125" style="239" bestFit="1" customWidth="1"/>
    <col min="1539" max="1543" width="9" style="239" customWidth="1"/>
    <col min="1544" max="1544" width="21.875" style="239" bestFit="1" customWidth="1"/>
    <col min="1545" max="1792" width="9" style="239"/>
    <col min="1793" max="1793" width="8.25" style="239" customWidth="1"/>
    <col min="1794" max="1794" width="22.125" style="239" bestFit="1" customWidth="1"/>
    <col min="1795" max="1799" width="9" style="239" customWidth="1"/>
    <col min="1800" max="1800" width="21.875" style="239" bestFit="1" customWidth="1"/>
    <col min="1801" max="2048" width="9" style="239"/>
    <col min="2049" max="2049" width="8.25" style="239" customWidth="1"/>
    <col min="2050" max="2050" width="22.125" style="239" bestFit="1" customWidth="1"/>
    <col min="2051" max="2055" width="9" style="239" customWidth="1"/>
    <col min="2056" max="2056" width="21.875" style="239" bestFit="1" customWidth="1"/>
    <col min="2057" max="2304" width="9" style="239"/>
    <col min="2305" max="2305" width="8.25" style="239" customWidth="1"/>
    <col min="2306" max="2306" width="22.125" style="239" bestFit="1" customWidth="1"/>
    <col min="2307" max="2311" width="9" style="239" customWidth="1"/>
    <col min="2312" max="2312" width="21.875" style="239" bestFit="1" customWidth="1"/>
    <col min="2313" max="2560" width="9" style="239"/>
    <col min="2561" max="2561" width="8.25" style="239" customWidth="1"/>
    <col min="2562" max="2562" width="22.125" style="239" bestFit="1" customWidth="1"/>
    <col min="2563" max="2567" width="9" style="239" customWidth="1"/>
    <col min="2568" max="2568" width="21.875" style="239" bestFit="1" customWidth="1"/>
    <col min="2569" max="2816" width="9" style="239"/>
    <col min="2817" max="2817" width="8.25" style="239" customWidth="1"/>
    <col min="2818" max="2818" width="22.125" style="239" bestFit="1" customWidth="1"/>
    <col min="2819" max="2823" width="9" style="239" customWidth="1"/>
    <col min="2824" max="2824" width="21.875" style="239" bestFit="1" customWidth="1"/>
    <col min="2825" max="3072" width="9" style="239"/>
    <col min="3073" max="3073" width="8.25" style="239" customWidth="1"/>
    <col min="3074" max="3074" width="22.125" style="239" bestFit="1" customWidth="1"/>
    <col min="3075" max="3079" width="9" style="239" customWidth="1"/>
    <col min="3080" max="3080" width="21.875" style="239" bestFit="1" customWidth="1"/>
    <col min="3081" max="3328" width="9" style="239"/>
    <col min="3329" max="3329" width="8.25" style="239" customWidth="1"/>
    <col min="3330" max="3330" width="22.125" style="239" bestFit="1" customWidth="1"/>
    <col min="3331" max="3335" width="9" style="239" customWidth="1"/>
    <col min="3336" max="3336" width="21.875" style="239" bestFit="1" customWidth="1"/>
    <col min="3337" max="3584" width="9" style="239"/>
    <col min="3585" max="3585" width="8.25" style="239" customWidth="1"/>
    <col min="3586" max="3586" width="22.125" style="239" bestFit="1" customWidth="1"/>
    <col min="3587" max="3591" width="9" style="239" customWidth="1"/>
    <col min="3592" max="3592" width="21.875" style="239" bestFit="1" customWidth="1"/>
    <col min="3593" max="3840" width="9" style="239"/>
    <col min="3841" max="3841" width="8.25" style="239" customWidth="1"/>
    <col min="3842" max="3842" width="22.125" style="239" bestFit="1" customWidth="1"/>
    <col min="3843" max="3847" width="9" style="239" customWidth="1"/>
    <col min="3848" max="3848" width="21.875" style="239" bestFit="1" customWidth="1"/>
    <col min="3849" max="4096" width="9" style="239"/>
    <col min="4097" max="4097" width="8.25" style="239" customWidth="1"/>
    <col min="4098" max="4098" width="22.125" style="239" bestFit="1" customWidth="1"/>
    <col min="4099" max="4103" width="9" style="239" customWidth="1"/>
    <col min="4104" max="4104" width="21.875" style="239" bestFit="1" customWidth="1"/>
    <col min="4105" max="4352" width="9" style="239"/>
    <col min="4353" max="4353" width="8.25" style="239" customWidth="1"/>
    <col min="4354" max="4354" width="22.125" style="239" bestFit="1" customWidth="1"/>
    <col min="4355" max="4359" width="9" style="239" customWidth="1"/>
    <col min="4360" max="4360" width="21.875" style="239" bestFit="1" customWidth="1"/>
    <col min="4361" max="4608" width="9" style="239"/>
    <col min="4609" max="4609" width="8.25" style="239" customWidth="1"/>
    <col min="4610" max="4610" width="22.125" style="239" bestFit="1" customWidth="1"/>
    <col min="4611" max="4615" width="9" style="239" customWidth="1"/>
    <col min="4616" max="4616" width="21.875" style="239" bestFit="1" customWidth="1"/>
    <col min="4617" max="4864" width="9" style="239"/>
    <col min="4865" max="4865" width="8.25" style="239" customWidth="1"/>
    <col min="4866" max="4866" width="22.125" style="239" bestFit="1" customWidth="1"/>
    <col min="4867" max="4871" width="9" style="239" customWidth="1"/>
    <col min="4872" max="4872" width="21.875" style="239" bestFit="1" customWidth="1"/>
    <col min="4873" max="5120" width="9" style="239"/>
    <col min="5121" max="5121" width="8.25" style="239" customWidth="1"/>
    <col min="5122" max="5122" width="22.125" style="239" bestFit="1" customWidth="1"/>
    <col min="5123" max="5127" width="9" style="239" customWidth="1"/>
    <col min="5128" max="5128" width="21.875" style="239" bestFit="1" customWidth="1"/>
    <col min="5129" max="5376" width="9" style="239"/>
    <col min="5377" max="5377" width="8.25" style="239" customWidth="1"/>
    <col min="5378" max="5378" width="22.125" style="239" bestFit="1" customWidth="1"/>
    <col min="5379" max="5383" width="9" style="239" customWidth="1"/>
    <col min="5384" max="5384" width="21.875" style="239" bestFit="1" customWidth="1"/>
    <col min="5385" max="5632" width="9" style="239"/>
    <col min="5633" max="5633" width="8.25" style="239" customWidth="1"/>
    <col min="5634" max="5634" width="22.125" style="239" bestFit="1" customWidth="1"/>
    <col min="5635" max="5639" width="9" style="239" customWidth="1"/>
    <col min="5640" max="5640" width="21.875" style="239" bestFit="1" customWidth="1"/>
    <col min="5641" max="5888" width="9" style="239"/>
    <col min="5889" max="5889" width="8.25" style="239" customWidth="1"/>
    <col min="5890" max="5890" width="22.125" style="239" bestFit="1" customWidth="1"/>
    <col min="5891" max="5895" width="9" style="239" customWidth="1"/>
    <col min="5896" max="5896" width="21.875" style="239" bestFit="1" customWidth="1"/>
    <col min="5897" max="6144" width="9" style="239"/>
    <col min="6145" max="6145" width="8.25" style="239" customWidth="1"/>
    <col min="6146" max="6146" width="22.125" style="239" bestFit="1" customWidth="1"/>
    <col min="6147" max="6151" width="9" style="239" customWidth="1"/>
    <col min="6152" max="6152" width="21.875" style="239" bestFit="1" customWidth="1"/>
    <col min="6153" max="6400" width="9" style="239"/>
    <col min="6401" max="6401" width="8.25" style="239" customWidth="1"/>
    <col min="6402" max="6402" width="22.125" style="239" bestFit="1" customWidth="1"/>
    <col min="6403" max="6407" width="9" style="239" customWidth="1"/>
    <col min="6408" max="6408" width="21.875" style="239" bestFit="1" customWidth="1"/>
    <col min="6409" max="6656" width="9" style="239"/>
    <col min="6657" max="6657" width="8.25" style="239" customWidth="1"/>
    <col min="6658" max="6658" width="22.125" style="239" bestFit="1" customWidth="1"/>
    <col min="6659" max="6663" width="9" style="239" customWidth="1"/>
    <col min="6664" max="6664" width="21.875" style="239" bestFit="1" customWidth="1"/>
    <col min="6665" max="6912" width="9" style="239"/>
    <col min="6913" max="6913" width="8.25" style="239" customWidth="1"/>
    <col min="6914" max="6914" width="22.125" style="239" bestFit="1" customWidth="1"/>
    <col min="6915" max="6919" width="9" style="239" customWidth="1"/>
    <col min="6920" max="6920" width="21.875" style="239" bestFit="1" customWidth="1"/>
    <col min="6921" max="7168" width="9" style="239"/>
    <col min="7169" max="7169" width="8.25" style="239" customWidth="1"/>
    <col min="7170" max="7170" width="22.125" style="239" bestFit="1" customWidth="1"/>
    <col min="7171" max="7175" width="9" style="239" customWidth="1"/>
    <col min="7176" max="7176" width="21.875" style="239" bestFit="1" customWidth="1"/>
    <col min="7177" max="7424" width="9" style="239"/>
    <col min="7425" max="7425" width="8.25" style="239" customWidth="1"/>
    <col min="7426" max="7426" width="22.125" style="239" bestFit="1" customWidth="1"/>
    <col min="7427" max="7431" width="9" style="239" customWidth="1"/>
    <col min="7432" max="7432" width="21.875" style="239" bestFit="1" customWidth="1"/>
    <col min="7433" max="7680" width="9" style="239"/>
    <col min="7681" max="7681" width="8.25" style="239" customWidth="1"/>
    <col min="7682" max="7682" width="22.125" style="239" bestFit="1" customWidth="1"/>
    <col min="7683" max="7687" width="9" style="239" customWidth="1"/>
    <col min="7688" max="7688" width="21.875" style="239" bestFit="1" customWidth="1"/>
    <col min="7689" max="7936" width="9" style="239"/>
    <col min="7937" max="7937" width="8.25" style="239" customWidth="1"/>
    <col min="7938" max="7938" width="22.125" style="239" bestFit="1" customWidth="1"/>
    <col min="7939" max="7943" width="9" style="239" customWidth="1"/>
    <col min="7944" max="7944" width="21.875" style="239" bestFit="1" customWidth="1"/>
    <col min="7945" max="8192" width="9" style="239"/>
    <col min="8193" max="8193" width="8.25" style="239" customWidth="1"/>
    <col min="8194" max="8194" width="22.125" style="239" bestFit="1" customWidth="1"/>
    <col min="8195" max="8199" width="9" style="239" customWidth="1"/>
    <col min="8200" max="8200" width="21.875" style="239" bestFit="1" customWidth="1"/>
    <col min="8201" max="8448" width="9" style="239"/>
    <col min="8449" max="8449" width="8.25" style="239" customWidth="1"/>
    <col min="8450" max="8450" width="22.125" style="239" bestFit="1" customWidth="1"/>
    <col min="8451" max="8455" width="9" style="239" customWidth="1"/>
    <col min="8456" max="8456" width="21.875" style="239" bestFit="1" customWidth="1"/>
    <col min="8457" max="8704" width="9" style="239"/>
    <col min="8705" max="8705" width="8.25" style="239" customWidth="1"/>
    <col min="8706" max="8706" width="22.125" style="239" bestFit="1" customWidth="1"/>
    <col min="8707" max="8711" width="9" style="239" customWidth="1"/>
    <col min="8712" max="8712" width="21.875" style="239" bestFit="1" customWidth="1"/>
    <col min="8713" max="8960" width="9" style="239"/>
    <col min="8961" max="8961" width="8.25" style="239" customWidth="1"/>
    <col min="8962" max="8962" width="22.125" style="239" bestFit="1" customWidth="1"/>
    <col min="8963" max="8967" width="9" style="239" customWidth="1"/>
    <col min="8968" max="8968" width="21.875" style="239" bestFit="1" customWidth="1"/>
    <col min="8969" max="9216" width="9" style="239"/>
    <col min="9217" max="9217" width="8.25" style="239" customWidth="1"/>
    <col min="9218" max="9218" width="22.125" style="239" bestFit="1" customWidth="1"/>
    <col min="9219" max="9223" width="9" style="239" customWidth="1"/>
    <col min="9224" max="9224" width="21.875" style="239" bestFit="1" customWidth="1"/>
    <col min="9225" max="9472" width="9" style="239"/>
    <col min="9473" max="9473" width="8.25" style="239" customWidth="1"/>
    <col min="9474" max="9474" width="22.125" style="239" bestFit="1" customWidth="1"/>
    <col min="9475" max="9479" width="9" style="239" customWidth="1"/>
    <col min="9480" max="9480" width="21.875" style="239" bestFit="1" customWidth="1"/>
    <col min="9481" max="9728" width="9" style="239"/>
    <col min="9729" max="9729" width="8.25" style="239" customWidth="1"/>
    <col min="9730" max="9730" width="22.125" style="239" bestFit="1" customWidth="1"/>
    <col min="9731" max="9735" width="9" style="239" customWidth="1"/>
    <col min="9736" max="9736" width="21.875" style="239" bestFit="1" customWidth="1"/>
    <col min="9737" max="9984" width="9" style="239"/>
    <col min="9985" max="9985" width="8.25" style="239" customWidth="1"/>
    <col min="9986" max="9986" width="22.125" style="239" bestFit="1" customWidth="1"/>
    <col min="9987" max="9991" width="9" style="239" customWidth="1"/>
    <col min="9992" max="9992" width="21.875" style="239" bestFit="1" customWidth="1"/>
    <col min="9993" max="10240" width="9" style="239"/>
    <col min="10241" max="10241" width="8.25" style="239" customWidth="1"/>
    <col min="10242" max="10242" width="22.125" style="239" bestFit="1" customWidth="1"/>
    <col min="10243" max="10247" width="9" style="239" customWidth="1"/>
    <col min="10248" max="10248" width="21.875" style="239" bestFit="1" customWidth="1"/>
    <col min="10249" max="10496" width="9" style="239"/>
    <col min="10497" max="10497" width="8.25" style="239" customWidth="1"/>
    <col min="10498" max="10498" width="22.125" style="239" bestFit="1" customWidth="1"/>
    <col min="10499" max="10503" width="9" style="239" customWidth="1"/>
    <col min="10504" max="10504" width="21.875" style="239" bestFit="1" customWidth="1"/>
    <col min="10505" max="10752" width="9" style="239"/>
    <col min="10753" max="10753" width="8.25" style="239" customWidth="1"/>
    <col min="10754" max="10754" width="22.125" style="239" bestFit="1" customWidth="1"/>
    <col min="10755" max="10759" width="9" style="239" customWidth="1"/>
    <col min="10760" max="10760" width="21.875" style="239" bestFit="1" customWidth="1"/>
    <col min="10761" max="11008" width="9" style="239"/>
    <col min="11009" max="11009" width="8.25" style="239" customWidth="1"/>
    <col min="11010" max="11010" width="22.125" style="239" bestFit="1" customWidth="1"/>
    <col min="11011" max="11015" width="9" style="239" customWidth="1"/>
    <col min="11016" max="11016" width="21.875" style="239" bestFit="1" customWidth="1"/>
    <col min="11017" max="11264" width="9" style="239"/>
    <col min="11265" max="11265" width="8.25" style="239" customWidth="1"/>
    <col min="11266" max="11266" width="22.125" style="239" bestFit="1" customWidth="1"/>
    <col min="11267" max="11271" width="9" style="239" customWidth="1"/>
    <col min="11272" max="11272" width="21.875" style="239" bestFit="1" customWidth="1"/>
    <col min="11273" max="11520" width="9" style="239"/>
    <col min="11521" max="11521" width="8.25" style="239" customWidth="1"/>
    <col min="11522" max="11522" width="22.125" style="239" bestFit="1" customWidth="1"/>
    <col min="11523" max="11527" width="9" style="239" customWidth="1"/>
    <col min="11528" max="11528" width="21.875" style="239" bestFit="1" customWidth="1"/>
    <col min="11529" max="11776" width="9" style="239"/>
    <col min="11777" max="11777" width="8.25" style="239" customWidth="1"/>
    <col min="11778" max="11778" width="22.125" style="239" bestFit="1" customWidth="1"/>
    <col min="11779" max="11783" width="9" style="239" customWidth="1"/>
    <col min="11784" max="11784" width="21.875" style="239" bestFit="1" customWidth="1"/>
    <col min="11785" max="12032" width="9" style="239"/>
    <col min="12033" max="12033" width="8.25" style="239" customWidth="1"/>
    <col min="12034" max="12034" width="22.125" style="239" bestFit="1" customWidth="1"/>
    <col min="12035" max="12039" width="9" style="239" customWidth="1"/>
    <col min="12040" max="12040" width="21.875" style="239" bestFit="1" customWidth="1"/>
    <col min="12041" max="12288" width="9" style="239"/>
    <col min="12289" max="12289" width="8.25" style="239" customWidth="1"/>
    <col min="12290" max="12290" width="22.125" style="239" bestFit="1" customWidth="1"/>
    <col min="12291" max="12295" width="9" style="239" customWidth="1"/>
    <col min="12296" max="12296" width="21.875" style="239" bestFit="1" customWidth="1"/>
    <col min="12297" max="12544" width="9" style="239"/>
    <col min="12545" max="12545" width="8.25" style="239" customWidth="1"/>
    <col min="12546" max="12546" width="22.125" style="239" bestFit="1" customWidth="1"/>
    <col min="12547" max="12551" width="9" style="239" customWidth="1"/>
    <col min="12552" max="12552" width="21.875" style="239" bestFit="1" customWidth="1"/>
    <col min="12553" max="12800" width="9" style="239"/>
    <col min="12801" max="12801" width="8.25" style="239" customWidth="1"/>
    <col min="12802" max="12802" width="22.125" style="239" bestFit="1" customWidth="1"/>
    <col min="12803" max="12807" width="9" style="239" customWidth="1"/>
    <col min="12808" max="12808" width="21.875" style="239" bestFit="1" customWidth="1"/>
    <col min="12809" max="13056" width="9" style="239"/>
    <col min="13057" max="13057" width="8.25" style="239" customWidth="1"/>
    <col min="13058" max="13058" width="22.125" style="239" bestFit="1" customWidth="1"/>
    <col min="13059" max="13063" width="9" style="239" customWidth="1"/>
    <col min="13064" max="13064" width="21.875" style="239" bestFit="1" customWidth="1"/>
    <col min="13065" max="13312" width="9" style="239"/>
    <col min="13313" max="13313" width="8.25" style="239" customWidth="1"/>
    <col min="13314" max="13314" width="22.125" style="239" bestFit="1" customWidth="1"/>
    <col min="13315" max="13319" width="9" style="239" customWidth="1"/>
    <col min="13320" max="13320" width="21.875" style="239" bestFit="1" customWidth="1"/>
    <col min="13321" max="13568" width="9" style="239"/>
    <col min="13569" max="13569" width="8.25" style="239" customWidth="1"/>
    <col min="13570" max="13570" width="22.125" style="239" bestFit="1" customWidth="1"/>
    <col min="13571" max="13575" width="9" style="239" customWidth="1"/>
    <col min="13576" max="13576" width="21.875" style="239" bestFit="1" customWidth="1"/>
    <col min="13577" max="13824" width="9" style="239"/>
    <col min="13825" max="13825" width="8.25" style="239" customWidth="1"/>
    <col min="13826" max="13826" width="22.125" style="239" bestFit="1" customWidth="1"/>
    <col min="13827" max="13831" width="9" style="239" customWidth="1"/>
    <col min="13832" max="13832" width="21.875" style="239" bestFit="1" customWidth="1"/>
    <col min="13833" max="14080" width="9" style="239"/>
    <col min="14081" max="14081" width="8.25" style="239" customWidth="1"/>
    <col min="14082" max="14082" width="22.125" style="239" bestFit="1" customWidth="1"/>
    <col min="14083" max="14087" width="9" style="239" customWidth="1"/>
    <col min="14088" max="14088" width="21.875" style="239" bestFit="1" customWidth="1"/>
    <col min="14089" max="14336" width="9" style="239"/>
    <col min="14337" max="14337" width="8.25" style="239" customWidth="1"/>
    <col min="14338" max="14338" width="22.125" style="239" bestFit="1" customWidth="1"/>
    <col min="14339" max="14343" width="9" style="239" customWidth="1"/>
    <col min="14344" max="14344" width="21.875" style="239" bestFit="1" customWidth="1"/>
    <col min="14345" max="14592" width="9" style="239"/>
    <col min="14593" max="14593" width="8.25" style="239" customWidth="1"/>
    <col min="14594" max="14594" width="22.125" style="239" bestFit="1" customWidth="1"/>
    <col min="14595" max="14599" width="9" style="239" customWidth="1"/>
    <col min="14600" max="14600" width="21.875" style="239" bestFit="1" customWidth="1"/>
    <col min="14601" max="14848" width="9" style="239"/>
    <col min="14849" max="14849" width="8.25" style="239" customWidth="1"/>
    <col min="14850" max="14850" width="22.125" style="239" bestFit="1" customWidth="1"/>
    <col min="14851" max="14855" width="9" style="239" customWidth="1"/>
    <col min="14856" max="14856" width="21.875" style="239" bestFit="1" customWidth="1"/>
    <col min="14857" max="15104" width="9" style="239"/>
    <col min="15105" max="15105" width="8.25" style="239" customWidth="1"/>
    <col min="15106" max="15106" width="22.125" style="239" bestFit="1" customWidth="1"/>
    <col min="15107" max="15111" width="9" style="239" customWidth="1"/>
    <col min="15112" max="15112" width="21.875" style="239" bestFit="1" customWidth="1"/>
    <col min="15113" max="15360" width="9" style="239"/>
    <col min="15361" max="15361" width="8.25" style="239" customWidth="1"/>
    <col min="15362" max="15362" width="22.125" style="239" bestFit="1" customWidth="1"/>
    <col min="15363" max="15367" width="9" style="239" customWidth="1"/>
    <col min="15368" max="15368" width="21.875" style="239" bestFit="1" customWidth="1"/>
    <col min="15369" max="15616" width="9" style="239"/>
    <col min="15617" max="15617" width="8.25" style="239" customWidth="1"/>
    <col min="15618" max="15618" width="22.125" style="239" bestFit="1" customWidth="1"/>
    <col min="15619" max="15623" width="9" style="239" customWidth="1"/>
    <col min="15624" max="15624" width="21.875" style="239" bestFit="1" customWidth="1"/>
    <col min="15625" max="15872" width="9" style="239"/>
    <col min="15873" max="15873" width="8.25" style="239" customWidth="1"/>
    <col min="15874" max="15874" width="22.125" style="239" bestFit="1" customWidth="1"/>
    <col min="15875" max="15879" width="9" style="239" customWidth="1"/>
    <col min="15880" max="15880" width="21.875" style="239" bestFit="1" customWidth="1"/>
    <col min="15881" max="16128" width="9" style="239"/>
    <col min="16129" max="16129" width="8.25" style="239" customWidth="1"/>
    <col min="16130" max="16130" width="22.125" style="239" bestFit="1" customWidth="1"/>
    <col min="16131" max="16135" width="9" style="239" customWidth="1"/>
    <col min="16136" max="16136" width="21.875" style="239" bestFit="1" customWidth="1"/>
    <col min="16137" max="16384" width="9" style="239"/>
  </cols>
  <sheetData>
    <row r="1" spans="1:4" ht="22.5" x14ac:dyDescent="0.3">
      <c r="A1" s="253" t="s">
        <v>215</v>
      </c>
      <c r="B1" s="253" t="s">
        <v>259</v>
      </c>
    </row>
    <row r="2" spans="1:4" ht="23.25" x14ac:dyDescent="0.35">
      <c r="A2" s="254">
        <v>1</v>
      </c>
      <c r="B2" s="255" t="s">
        <v>219</v>
      </c>
      <c r="C2" s="242"/>
      <c r="D2" s="242"/>
    </row>
    <row r="3" spans="1:4" ht="23.25" x14ac:dyDescent="0.35">
      <c r="A3" s="254">
        <v>1</v>
      </c>
      <c r="B3" s="255" t="s">
        <v>220</v>
      </c>
      <c r="C3" s="242"/>
      <c r="D3" s="242"/>
    </row>
    <row r="4" spans="1:4" ht="23.25" x14ac:dyDescent="0.35">
      <c r="A4" s="254">
        <v>2</v>
      </c>
      <c r="B4" s="255" t="s">
        <v>221</v>
      </c>
      <c r="C4" s="242"/>
      <c r="D4" s="242"/>
    </row>
    <row r="5" spans="1:4" ht="23.25" x14ac:dyDescent="0.35">
      <c r="A5" s="254">
        <v>2</v>
      </c>
      <c r="B5" s="255" t="s">
        <v>222</v>
      </c>
      <c r="C5" s="242"/>
      <c r="D5" s="242"/>
    </row>
    <row r="6" spans="1:4" ht="23.25" x14ac:dyDescent="0.35">
      <c r="A6" s="254">
        <v>3</v>
      </c>
      <c r="B6" s="255" t="s">
        <v>223</v>
      </c>
      <c r="C6" s="242"/>
      <c r="D6" s="242"/>
    </row>
    <row r="7" spans="1:4" ht="23.25" x14ac:dyDescent="0.35">
      <c r="A7" s="254">
        <v>3</v>
      </c>
      <c r="B7" s="255" t="s">
        <v>225</v>
      </c>
      <c r="C7" s="242"/>
      <c r="D7" s="242"/>
    </row>
    <row r="8" spans="1:4" ht="23.25" x14ac:dyDescent="0.35">
      <c r="A8" s="254">
        <v>4</v>
      </c>
      <c r="B8" s="244" t="s">
        <v>226</v>
      </c>
      <c r="C8" s="242"/>
      <c r="D8" s="242"/>
    </row>
    <row r="9" spans="1:4" ht="23.25" x14ac:dyDescent="0.35">
      <c r="A9" s="254">
        <v>4</v>
      </c>
      <c r="B9" s="244" t="s">
        <v>227</v>
      </c>
      <c r="C9" s="242"/>
      <c r="D9" s="242"/>
    </row>
    <row r="10" spans="1:4" ht="23.25" x14ac:dyDescent="0.35">
      <c r="A10" s="254">
        <v>5</v>
      </c>
      <c r="B10" s="244" t="s">
        <v>228</v>
      </c>
      <c r="C10" s="242"/>
      <c r="D10" s="242"/>
    </row>
    <row r="11" spans="1:4" ht="23.25" x14ac:dyDescent="0.35">
      <c r="A11" s="254">
        <v>5</v>
      </c>
      <c r="B11" s="244" t="s">
        <v>229</v>
      </c>
      <c r="C11" s="242"/>
      <c r="D11" s="242"/>
    </row>
    <row r="12" spans="1:4" ht="23.25" x14ac:dyDescent="0.35">
      <c r="A12" s="254">
        <v>6</v>
      </c>
      <c r="B12" s="244" t="s">
        <v>232</v>
      </c>
      <c r="C12" s="242"/>
      <c r="D12" s="242"/>
    </row>
    <row r="13" spans="1:4" ht="23.25" x14ac:dyDescent="0.35">
      <c r="A13" s="254">
        <v>5</v>
      </c>
      <c r="B13" s="256" t="s">
        <v>230</v>
      </c>
      <c r="C13" s="242"/>
      <c r="D13" s="242"/>
    </row>
    <row r="14" spans="1:4" ht="23.25" x14ac:dyDescent="0.35">
      <c r="A14" s="254">
        <v>5</v>
      </c>
      <c r="B14" s="256" t="s">
        <v>231</v>
      </c>
      <c r="C14" s="242"/>
      <c r="D14" s="242"/>
    </row>
    <row r="15" spans="1:4" ht="23.25" x14ac:dyDescent="0.35">
      <c r="A15" s="254">
        <v>6</v>
      </c>
      <c r="B15" s="256" t="s">
        <v>233</v>
      </c>
      <c r="C15" s="242"/>
      <c r="D15" s="242"/>
    </row>
    <row r="16" spans="1:4" ht="23.25" x14ac:dyDescent="0.35">
      <c r="A16" s="254">
        <v>6</v>
      </c>
      <c r="B16" s="256" t="s">
        <v>234</v>
      </c>
      <c r="C16" s="242"/>
      <c r="D16" s="242"/>
    </row>
    <row r="17" spans="1:5" ht="23.25" x14ac:dyDescent="0.35">
      <c r="A17" s="254">
        <v>6</v>
      </c>
      <c r="B17" s="256" t="s">
        <v>328</v>
      </c>
      <c r="C17" s="242"/>
      <c r="D17" s="242"/>
    </row>
    <row r="18" spans="1:5" ht="23.25" x14ac:dyDescent="0.35">
      <c r="A18" s="254">
        <v>7</v>
      </c>
      <c r="B18" s="257" t="s">
        <v>235</v>
      </c>
      <c r="C18" s="242"/>
      <c r="D18" s="242"/>
    </row>
    <row r="19" spans="1:5" ht="23.25" x14ac:dyDescent="0.35">
      <c r="A19" s="254">
        <v>7</v>
      </c>
      <c r="B19" s="257" t="s">
        <v>236</v>
      </c>
      <c r="C19" s="242"/>
      <c r="D19" s="242"/>
    </row>
    <row r="20" spans="1:5" ht="23.25" x14ac:dyDescent="0.35">
      <c r="A20" s="254">
        <v>8</v>
      </c>
      <c r="B20" s="257" t="s">
        <v>237</v>
      </c>
      <c r="C20" s="242"/>
      <c r="D20" s="242"/>
    </row>
    <row r="21" spans="1:5" ht="23.25" x14ac:dyDescent="0.35">
      <c r="A21" s="254">
        <v>8</v>
      </c>
      <c r="B21" s="257" t="s">
        <v>329</v>
      </c>
      <c r="C21" s="242"/>
      <c r="D21" s="242"/>
    </row>
    <row r="22" spans="1:5" ht="23.25" x14ac:dyDescent="0.35">
      <c r="A22" s="254">
        <v>8</v>
      </c>
      <c r="B22" s="258" t="s">
        <v>238</v>
      </c>
      <c r="C22" s="242"/>
      <c r="D22" s="242"/>
    </row>
    <row r="23" spans="1:5" ht="23.25" x14ac:dyDescent="0.35">
      <c r="A23" s="254">
        <v>9</v>
      </c>
      <c r="B23" s="258" t="s">
        <v>239</v>
      </c>
      <c r="C23" s="242"/>
      <c r="D23" s="242"/>
    </row>
    <row r="24" spans="1:5" ht="23.25" x14ac:dyDescent="0.35">
      <c r="A24" s="254">
        <v>10</v>
      </c>
      <c r="B24" s="258" t="s">
        <v>240</v>
      </c>
      <c r="C24" s="242"/>
      <c r="D24" s="242"/>
    </row>
    <row r="25" spans="1:5" ht="23.25" x14ac:dyDescent="0.35">
      <c r="A25" s="254">
        <v>11</v>
      </c>
      <c r="B25" s="258" t="s">
        <v>241</v>
      </c>
      <c r="C25" s="242"/>
      <c r="D25" s="242"/>
    </row>
    <row r="28" spans="1:5" ht="14.25" hidden="1" x14ac:dyDescent="0.2">
      <c r="A28" s="241" t="s">
        <v>260</v>
      </c>
      <c r="B28" s="240"/>
      <c r="C28" s="240"/>
    </row>
    <row r="29" spans="1:5" hidden="1" x14ac:dyDescent="0.2">
      <c r="A29" s="243" t="s">
        <v>215</v>
      </c>
      <c r="B29" s="243" t="s">
        <v>261</v>
      </c>
    </row>
    <row r="30" spans="1:5" hidden="1" x14ac:dyDescent="0.2">
      <c r="A30" s="239">
        <v>11</v>
      </c>
      <c r="B30" s="239">
        <v>0.65</v>
      </c>
      <c r="E30" s="239">
        <f>B30+B44+B58+B72</f>
        <v>1</v>
      </c>
    </row>
    <row r="31" spans="1:5" hidden="1" x14ac:dyDescent="0.2">
      <c r="A31" s="239">
        <v>10</v>
      </c>
      <c r="B31" s="239">
        <v>0.6</v>
      </c>
      <c r="E31" s="239">
        <f t="shared" ref="E31:E40" si="0">B31+B45+B59+B73</f>
        <v>1</v>
      </c>
    </row>
    <row r="32" spans="1:5" hidden="1" x14ac:dyDescent="0.2">
      <c r="A32" s="239">
        <v>9</v>
      </c>
      <c r="B32" s="239">
        <v>0.55000000000000004</v>
      </c>
      <c r="E32" s="239">
        <f t="shared" si="0"/>
        <v>1</v>
      </c>
    </row>
    <row r="33" spans="1:5" hidden="1" x14ac:dyDescent="0.2">
      <c r="A33" s="239">
        <v>8</v>
      </c>
      <c r="B33" s="239">
        <v>0.5</v>
      </c>
      <c r="E33" s="239">
        <f t="shared" si="0"/>
        <v>1</v>
      </c>
    </row>
    <row r="34" spans="1:5" hidden="1" x14ac:dyDescent="0.2">
      <c r="A34" s="239">
        <v>7</v>
      </c>
      <c r="B34" s="239">
        <v>0.45</v>
      </c>
      <c r="E34" s="239">
        <f t="shared" si="0"/>
        <v>1</v>
      </c>
    </row>
    <row r="35" spans="1:5" hidden="1" x14ac:dyDescent="0.2">
      <c r="A35" s="239">
        <v>6</v>
      </c>
      <c r="B35" s="239">
        <v>0.35</v>
      </c>
      <c r="E35" s="239">
        <f t="shared" si="0"/>
        <v>1</v>
      </c>
    </row>
    <row r="36" spans="1:5" hidden="1" x14ac:dyDescent="0.2">
      <c r="A36" s="239">
        <v>5</v>
      </c>
      <c r="B36" s="239">
        <v>0.25</v>
      </c>
      <c r="E36" s="239">
        <f t="shared" si="0"/>
        <v>1</v>
      </c>
    </row>
    <row r="37" spans="1:5" hidden="1" x14ac:dyDescent="0.2">
      <c r="A37" s="239">
        <v>4</v>
      </c>
      <c r="B37" s="239">
        <v>0.2</v>
      </c>
      <c r="E37" s="239">
        <f t="shared" si="0"/>
        <v>1</v>
      </c>
    </row>
    <row r="38" spans="1:5" hidden="1" x14ac:dyDescent="0.2">
      <c r="A38" s="239">
        <v>3</v>
      </c>
      <c r="B38" s="239">
        <v>0.1</v>
      </c>
      <c r="E38" s="239">
        <f t="shared" si="0"/>
        <v>1</v>
      </c>
    </row>
    <row r="39" spans="1:5" hidden="1" x14ac:dyDescent="0.2">
      <c r="A39" s="239">
        <v>2</v>
      </c>
      <c r="B39" s="239">
        <v>0.05</v>
      </c>
      <c r="E39" s="239">
        <f t="shared" si="0"/>
        <v>1</v>
      </c>
    </row>
    <row r="40" spans="1:5" hidden="1" x14ac:dyDescent="0.2">
      <c r="A40" s="239">
        <v>1</v>
      </c>
      <c r="B40" s="239">
        <v>0</v>
      </c>
      <c r="E40" s="239">
        <f t="shared" si="0"/>
        <v>1</v>
      </c>
    </row>
    <row r="41" spans="1:5" hidden="1" x14ac:dyDescent="0.2"/>
    <row r="42" spans="1:5" ht="14.25" hidden="1" x14ac:dyDescent="0.2">
      <c r="A42" s="241" t="s">
        <v>262</v>
      </c>
      <c r="B42" s="241"/>
    </row>
    <row r="43" spans="1:5" hidden="1" x14ac:dyDescent="0.2">
      <c r="A43" s="243" t="s">
        <v>215</v>
      </c>
      <c r="B43" s="243" t="s">
        <v>261</v>
      </c>
    </row>
    <row r="44" spans="1:5" hidden="1" x14ac:dyDescent="0.2">
      <c r="A44" s="239">
        <v>11</v>
      </c>
      <c r="B44" s="239">
        <v>0.05</v>
      </c>
    </row>
    <row r="45" spans="1:5" hidden="1" x14ac:dyDescent="0.2">
      <c r="A45" s="239">
        <v>10</v>
      </c>
      <c r="B45" s="239">
        <v>0.1</v>
      </c>
    </row>
    <row r="46" spans="1:5" hidden="1" x14ac:dyDescent="0.2">
      <c r="A46" s="239">
        <v>9</v>
      </c>
      <c r="B46" s="239">
        <v>0.15</v>
      </c>
    </row>
    <row r="47" spans="1:5" hidden="1" x14ac:dyDescent="0.2">
      <c r="A47" s="239">
        <v>8</v>
      </c>
      <c r="B47" s="239">
        <v>0.15</v>
      </c>
    </row>
    <row r="48" spans="1:5" hidden="1" x14ac:dyDescent="0.2">
      <c r="A48" s="239">
        <v>7</v>
      </c>
      <c r="B48" s="239">
        <v>0.15</v>
      </c>
    </row>
    <row r="49" spans="1:2" hidden="1" x14ac:dyDescent="0.2">
      <c r="A49" s="239">
        <v>6</v>
      </c>
      <c r="B49" s="239">
        <v>0.15</v>
      </c>
    </row>
    <row r="50" spans="1:2" hidden="1" x14ac:dyDescent="0.2">
      <c r="A50" s="239">
        <v>5</v>
      </c>
      <c r="B50" s="239">
        <v>0.2</v>
      </c>
    </row>
    <row r="51" spans="1:2" hidden="1" x14ac:dyDescent="0.2">
      <c r="A51" s="239">
        <v>4</v>
      </c>
      <c r="B51" s="239">
        <v>0.2</v>
      </c>
    </row>
    <row r="52" spans="1:2" hidden="1" x14ac:dyDescent="0.2">
      <c r="A52" s="239">
        <v>3</v>
      </c>
      <c r="B52" s="239">
        <v>0.2</v>
      </c>
    </row>
    <row r="53" spans="1:2" hidden="1" x14ac:dyDescent="0.2">
      <c r="A53" s="239">
        <v>2</v>
      </c>
      <c r="B53" s="239">
        <v>0.2</v>
      </c>
    </row>
    <row r="54" spans="1:2" hidden="1" x14ac:dyDescent="0.2">
      <c r="A54" s="239">
        <v>1</v>
      </c>
      <c r="B54" s="239">
        <v>0.2</v>
      </c>
    </row>
    <row r="55" spans="1:2" hidden="1" x14ac:dyDescent="0.2"/>
    <row r="56" spans="1:2" ht="14.25" hidden="1" x14ac:dyDescent="0.2">
      <c r="A56" s="241" t="s">
        <v>263</v>
      </c>
      <c r="B56" s="240"/>
    </row>
    <row r="57" spans="1:2" hidden="1" x14ac:dyDescent="0.2">
      <c r="A57" s="243" t="s">
        <v>215</v>
      </c>
      <c r="B57" s="243" t="s">
        <v>261</v>
      </c>
    </row>
    <row r="58" spans="1:2" hidden="1" x14ac:dyDescent="0.2">
      <c r="A58" s="239">
        <v>11</v>
      </c>
      <c r="B58" s="239">
        <v>0.25</v>
      </c>
    </row>
    <row r="59" spans="1:2" hidden="1" x14ac:dyDescent="0.2">
      <c r="A59" s="239">
        <v>10</v>
      </c>
      <c r="B59" s="239">
        <v>0.25</v>
      </c>
    </row>
    <row r="60" spans="1:2" hidden="1" x14ac:dyDescent="0.2">
      <c r="A60" s="239">
        <v>9</v>
      </c>
      <c r="B60" s="239">
        <v>0.25</v>
      </c>
    </row>
    <row r="61" spans="1:2" hidden="1" x14ac:dyDescent="0.2">
      <c r="A61" s="239">
        <v>8</v>
      </c>
      <c r="B61" s="239">
        <v>0.3</v>
      </c>
    </row>
    <row r="62" spans="1:2" hidden="1" x14ac:dyDescent="0.2">
      <c r="A62" s="239">
        <v>7</v>
      </c>
      <c r="B62" s="239">
        <v>0.35</v>
      </c>
    </row>
    <row r="63" spans="1:2" hidden="1" x14ac:dyDescent="0.2">
      <c r="A63" s="239">
        <v>6</v>
      </c>
      <c r="B63" s="239">
        <v>0.4</v>
      </c>
    </row>
    <row r="64" spans="1:2" hidden="1" x14ac:dyDescent="0.2">
      <c r="A64" s="239">
        <v>5</v>
      </c>
      <c r="B64" s="239">
        <v>0.45</v>
      </c>
    </row>
    <row r="65" spans="1:2" hidden="1" x14ac:dyDescent="0.2">
      <c r="A65" s="239">
        <v>4</v>
      </c>
      <c r="B65" s="239">
        <v>0.5</v>
      </c>
    </row>
    <row r="66" spans="1:2" hidden="1" x14ac:dyDescent="0.2">
      <c r="A66" s="239">
        <v>3</v>
      </c>
      <c r="B66" s="239">
        <v>0.5</v>
      </c>
    </row>
    <row r="67" spans="1:2" hidden="1" x14ac:dyDescent="0.2">
      <c r="A67" s="239">
        <v>2</v>
      </c>
      <c r="B67" s="239">
        <v>0.5</v>
      </c>
    </row>
    <row r="68" spans="1:2" hidden="1" x14ac:dyDescent="0.2">
      <c r="A68" s="239">
        <v>1</v>
      </c>
      <c r="B68" s="239">
        <v>0.5</v>
      </c>
    </row>
    <row r="69" spans="1:2" hidden="1" x14ac:dyDescent="0.2"/>
    <row r="70" spans="1:2" ht="14.25" hidden="1" x14ac:dyDescent="0.2">
      <c r="A70" s="241" t="s">
        <v>264</v>
      </c>
      <c r="B70" s="240"/>
    </row>
    <row r="71" spans="1:2" hidden="1" x14ac:dyDescent="0.2">
      <c r="A71" s="243" t="s">
        <v>215</v>
      </c>
      <c r="B71" s="243" t="s">
        <v>261</v>
      </c>
    </row>
    <row r="72" spans="1:2" hidden="1" x14ac:dyDescent="0.2">
      <c r="A72" s="239">
        <v>11</v>
      </c>
      <c r="B72" s="239">
        <v>0.05</v>
      </c>
    </row>
    <row r="73" spans="1:2" hidden="1" x14ac:dyDescent="0.2">
      <c r="A73" s="239">
        <v>10</v>
      </c>
      <c r="B73" s="239">
        <v>0.05</v>
      </c>
    </row>
    <row r="74" spans="1:2" hidden="1" x14ac:dyDescent="0.2">
      <c r="A74" s="239">
        <v>9</v>
      </c>
      <c r="B74" s="239">
        <v>0.05</v>
      </c>
    </row>
    <row r="75" spans="1:2" hidden="1" x14ac:dyDescent="0.2">
      <c r="A75" s="239">
        <v>8</v>
      </c>
      <c r="B75" s="239">
        <v>0.05</v>
      </c>
    </row>
    <row r="76" spans="1:2" hidden="1" x14ac:dyDescent="0.2">
      <c r="A76" s="239">
        <v>7</v>
      </c>
      <c r="B76" s="239">
        <v>0.05</v>
      </c>
    </row>
    <row r="77" spans="1:2" hidden="1" x14ac:dyDescent="0.2">
      <c r="A77" s="239">
        <v>6</v>
      </c>
      <c r="B77" s="239">
        <v>0.1</v>
      </c>
    </row>
    <row r="78" spans="1:2" hidden="1" x14ac:dyDescent="0.2">
      <c r="A78" s="239">
        <v>5</v>
      </c>
      <c r="B78" s="239">
        <v>0.1</v>
      </c>
    </row>
    <row r="79" spans="1:2" hidden="1" x14ac:dyDescent="0.2">
      <c r="A79" s="239">
        <v>4</v>
      </c>
      <c r="B79" s="239">
        <v>0.1</v>
      </c>
    </row>
    <row r="80" spans="1:2" hidden="1" x14ac:dyDescent="0.2">
      <c r="A80" s="239">
        <v>3</v>
      </c>
      <c r="B80" s="239">
        <v>0.2</v>
      </c>
    </row>
    <row r="81" spans="1:2" hidden="1" x14ac:dyDescent="0.2">
      <c r="A81" s="239">
        <v>2</v>
      </c>
      <c r="B81" s="239">
        <v>0.25</v>
      </c>
    </row>
    <row r="82" spans="1:2" hidden="1" x14ac:dyDescent="0.2">
      <c r="A82" s="239">
        <v>1</v>
      </c>
      <c r="B82" s="239">
        <v>0.3</v>
      </c>
    </row>
    <row r="83" spans="1:2" hidden="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31</vt:i4>
      </vt:variant>
    </vt:vector>
  </HeadingPairs>
  <TitlesOfParts>
    <vt:vector size="47" baseType="lpstr">
      <vt:lpstr>EVALUATION SUMMARY</vt:lpstr>
      <vt:lpstr>MBO Sheet (B term)</vt:lpstr>
      <vt:lpstr>MBO Sheet (A term)</vt:lpstr>
      <vt:lpstr>Task #B1</vt:lpstr>
      <vt:lpstr>Task #B2</vt:lpstr>
      <vt:lpstr>Task #B3</vt:lpstr>
      <vt:lpstr>Task #B4</vt:lpstr>
      <vt:lpstr>Task #B5</vt:lpstr>
      <vt:lpstr>Task #A1</vt:lpstr>
      <vt:lpstr>Task #A2</vt:lpstr>
      <vt:lpstr>Task #A3</vt:lpstr>
      <vt:lpstr>Task #A4</vt:lpstr>
      <vt:lpstr>Task #A5</vt:lpstr>
      <vt:lpstr>Criteria &amp; Rating</vt:lpstr>
      <vt:lpstr>Responsibility vs. Grade</vt:lpstr>
      <vt:lpstr>Grade &amp; Title</vt:lpstr>
      <vt:lpstr>'Task #A2'!DEVELOPMENT_OTHER</vt:lpstr>
      <vt:lpstr>'Task #A3'!DEVELOPMENT_OTHER</vt:lpstr>
      <vt:lpstr>'Task #A4'!DEVELOPMENT_OTHER</vt:lpstr>
      <vt:lpstr>'Task #A5'!DEVELOPMENT_OTHER</vt:lpstr>
      <vt:lpstr>'Task #B2'!DEVELOPMENT_OTHER</vt:lpstr>
      <vt:lpstr>'Task #B3'!DEVELOPMENT_OTHER</vt:lpstr>
      <vt:lpstr>'Task #B4'!DEVELOPMENT_OTHER</vt:lpstr>
      <vt:lpstr>'Task #B5'!DEVELOPMENT_OTHER</vt:lpstr>
      <vt:lpstr>DEVELOPMENT_OTHER</vt:lpstr>
      <vt:lpstr>'Task #A2'!MANAGEMENT_WORK</vt:lpstr>
      <vt:lpstr>'Task #A3'!MANAGEMENT_WORK</vt:lpstr>
      <vt:lpstr>'Task #A4'!MANAGEMENT_WORK</vt:lpstr>
      <vt:lpstr>'Task #A5'!MANAGEMENT_WORK</vt:lpstr>
      <vt:lpstr>'Task #B2'!MANAGEMENT_WORK</vt:lpstr>
      <vt:lpstr>'Task #B3'!MANAGEMENT_WORK</vt:lpstr>
      <vt:lpstr>'Task #B4'!MANAGEMENT_WORK</vt:lpstr>
      <vt:lpstr>'Task #B5'!MANAGEMENT_WORK</vt:lpstr>
      <vt:lpstr>MANAGEMENT_WORK</vt:lpstr>
      <vt:lpstr>'Criteria &amp; Rating'!Print_Area</vt:lpstr>
      <vt:lpstr>'EVALUATION SUMMARY'!Print_Area</vt:lpstr>
      <vt:lpstr>'MBO Sheet (A term)'!Print_Area</vt:lpstr>
      <vt:lpstr>'MBO Sheet (B term)'!Print_Area</vt:lpstr>
      <vt:lpstr>'Task #A2'!TASK_TYPE</vt:lpstr>
      <vt:lpstr>'Task #A3'!TASK_TYPE</vt:lpstr>
      <vt:lpstr>'Task #A4'!TASK_TYPE</vt:lpstr>
      <vt:lpstr>'Task #A5'!TASK_TYPE</vt:lpstr>
      <vt:lpstr>'Task #B2'!TASK_TYPE</vt:lpstr>
      <vt:lpstr>'Task #B3'!TASK_TYPE</vt:lpstr>
      <vt:lpstr>'Task #B4'!TASK_TYPE</vt:lpstr>
      <vt:lpstr>'Task #B5'!TASK_TYPE</vt:lpstr>
      <vt:lpstr>TASK_TYPE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 Viet Trung</dc:creator>
  <cp:lastModifiedBy>Le Huu Khoa</cp:lastModifiedBy>
  <cp:lastPrinted>2015-08-24T04:59:16Z</cp:lastPrinted>
  <dcterms:created xsi:type="dcterms:W3CDTF">2014-10-21T14:47:55Z</dcterms:created>
  <dcterms:modified xsi:type="dcterms:W3CDTF">2015-10-05T10:33:21Z</dcterms:modified>
</cp:coreProperties>
</file>